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action Sample" sheetId="2" state="visible" r:id="rId4"/>
    <sheet name="Pivot Summary" sheetId="3" state="visible" r:id="rId5"/>
    <sheet name="Monthly Trend" sheetId="4" state="visible" r:id="rId6"/>
    <sheet name="Lookup Dem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<sst xmlns="http://schemas.openxmlformats.org/spreadsheetml/2006/main" count="3112" uniqueCount="655">
  <si>
    <t xml:space="preserve">NorthStar Retail Group — Excel KPI Dashboard</t>
  </si>
  <si>
    <t xml:space="preserve">Total Revenue</t>
  </si>
  <si>
    <t xml:space="preserve">Total Profit</t>
  </si>
  <si>
    <t xml:space="preserve">Gross Margin %</t>
  </si>
  <si>
    <t xml:space="preserve">Orders in Sample</t>
  </si>
  <si>
    <t xml:space="preserve">Note: KPI values above are computed from the 500-row transaction SAMPLE included in this workbook for demonstration; full 75,023-row figures ($31.1M revenue, 42.7% margin) are documented in the project README and SQL/Python analysis.</t>
  </si>
  <si>
    <t xml:space="preserve">order_id</t>
  </si>
  <si>
    <t xml:space="preserve">order_date</t>
  </si>
  <si>
    <t xml:space="preserve">order_status</t>
  </si>
  <si>
    <t xml:space="preserve">region</t>
  </si>
  <si>
    <t xml:space="preserve">category</t>
  </si>
  <si>
    <t xml:space="preserve">product_name</t>
  </si>
  <si>
    <t xml:space="preserve">quantity</t>
  </si>
  <si>
    <t xml:space="preserve">unit_price</t>
  </si>
  <si>
    <t xml:space="preserve">line_total</t>
  </si>
  <si>
    <t xml:space="preserve">line_cost</t>
  </si>
  <si>
    <t xml:space="preserve">profit</t>
  </si>
  <si>
    <t xml:space="preserve">order_month</t>
  </si>
  <si>
    <t xml:space="preserve">2024-11-18</t>
  </si>
  <si>
    <t xml:space="preserve">Completed</t>
  </si>
  <si>
    <t xml:space="preserve">Northeast</t>
  </si>
  <si>
    <t xml:space="preserve">Electronics</t>
  </si>
  <si>
    <t xml:space="preserve">CoreHome Wireless Earbuds Lite</t>
  </si>
  <si>
    <t xml:space="preserve">2024-11</t>
  </si>
  <si>
    <t xml:space="preserve">2025-10-08</t>
  </si>
  <si>
    <t xml:space="preserve">Southwest</t>
  </si>
  <si>
    <t xml:space="preserve">HomeCraft Smart Watch Classic</t>
  </si>
  <si>
    <t xml:space="preserve">2025-10</t>
  </si>
  <si>
    <t xml:space="preserve">2024-07-28</t>
  </si>
  <si>
    <t xml:space="preserve">Furniture</t>
  </si>
  <si>
    <t xml:space="preserve">Nexa Sofa</t>
  </si>
  <si>
    <t xml:space="preserve">2024-07</t>
  </si>
  <si>
    <t xml:space="preserve">2024-04-14</t>
  </si>
  <si>
    <t xml:space="preserve">West</t>
  </si>
  <si>
    <t xml:space="preserve">Nexa Bluetooth Speaker Classic</t>
  </si>
  <si>
    <t xml:space="preserve">2024-04</t>
  </si>
  <si>
    <t xml:space="preserve">2023-11-25</t>
  </si>
  <si>
    <t xml:space="preserve">Midwest</t>
  </si>
  <si>
    <t xml:space="preserve">Nexa Bookshelf X</t>
  </si>
  <si>
    <t xml:space="preserve">2023-11</t>
  </si>
  <si>
    <t xml:space="preserve">2025-03-13</t>
  </si>
  <si>
    <t xml:space="preserve">Vantek Bluetooth Speaker Max</t>
  </si>
  <si>
    <t xml:space="preserve">2025-03</t>
  </si>
  <si>
    <t xml:space="preserve">2025-09-13</t>
  </si>
  <si>
    <t xml:space="preserve">PrimeLiving Desk Lite</t>
  </si>
  <si>
    <t xml:space="preserve">2025-09</t>
  </si>
  <si>
    <t xml:space="preserve">2025-10-20</t>
  </si>
  <si>
    <t xml:space="preserve">Outdoor &amp; Garden</t>
  </si>
  <si>
    <t xml:space="preserve">Lumeo Garden Tools Kit</t>
  </si>
  <si>
    <t xml:space="preserve">2025-05-21</t>
  </si>
  <si>
    <t xml:space="preserve">Home Appliances</t>
  </si>
  <si>
    <t xml:space="preserve">PrimeLiving Air Fryer Pro</t>
  </si>
  <si>
    <t xml:space="preserve">2025-05</t>
  </si>
  <si>
    <t xml:space="preserve">2025-08-29</t>
  </si>
  <si>
    <t xml:space="preserve">South</t>
  </si>
  <si>
    <t xml:space="preserve">Kitchenware</t>
  </si>
  <si>
    <t xml:space="preserve">Urbanox Dinnerware Set X</t>
  </si>
  <si>
    <t xml:space="preserve">2025-08</t>
  </si>
  <si>
    <t xml:space="preserve">2023-03-16</t>
  </si>
  <si>
    <t xml:space="preserve">Home Decor</t>
  </si>
  <si>
    <t xml:space="preserve">Vantek Throw Pillow Lite</t>
  </si>
  <si>
    <t xml:space="preserve">2023-03</t>
  </si>
  <si>
    <t xml:space="preserve">2025-12-13</t>
  </si>
  <si>
    <t xml:space="preserve">Aurora Cutting Board Pro</t>
  </si>
  <si>
    <t xml:space="preserve">2025-12</t>
  </si>
  <si>
    <t xml:space="preserve">2023-06-06</t>
  </si>
  <si>
    <t xml:space="preserve">Lumeo Knife Set Lite</t>
  </si>
  <si>
    <t xml:space="preserve">2023-06</t>
  </si>
  <si>
    <t xml:space="preserve">2025-11-07</t>
  </si>
  <si>
    <t xml:space="preserve">Vantek 4K TV Max</t>
  </si>
  <si>
    <t xml:space="preserve">2025-11</t>
  </si>
  <si>
    <t xml:space="preserve">2024-01-13</t>
  </si>
  <si>
    <t xml:space="preserve">Lumeo 4K TV</t>
  </si>
  <si>
    <t xml:space="preserve">2024-01</t>
  </si>
  <si>
    <t xml:space="preserve">2024-12-21</t>
  </si>
  <si>
    <t xml:space="preserve">HomeCraft Vacuum Cleaner Max</t>
  </si>
  <si>
    <t xml:space="preserve">2024-12</t>
  </si>
  <si>
    <t xml:space="preserve">2024-08-05</t>
  </si>
  <si>
    <t xml:space="preserve">PrimeLiving Mirror X</t>
  </si>
  <si>
    <t xml:space="preserve">2024-08</t>
  </si>
  <si>
    <t xml:space="preserve">2023-01-18</t>
  </si>
  <si>
    <t xml:space="preserve">PrimeLiving Smart Watch</t>
  </si>
  <si>
    <t xml:space="preserve">2023-01</t>
  </si>
  <si>
    <t xml:space="preserve">2025-12-02</t>
  </si>
  <si>
    <t xml:space="preserve">2023-03-18</t>
  </si>
  <si>
    <t xml:space="preserve">PrimeLiving Coffee Table Lite</t>
  </si>
  <si>
    <t xml:space="preserve">2025-04-25</t>
  </si>
  <si>
    <t xml:space="preserve">Nexa Cookware Set Max</t>
  </si>
  <si>
    <t xml:space="preserve">2025-04</t>
  </si>
  <si>
    <t xml:space="preserve">2025-11-16</t>
  </si>
  <si>
    <t xml:space="preserve">Lumeo Sofa Lite</t>
  </si>
  <si>
    <t xml:space="preserve">2024-12-19</t>
  </si>
  <si>
    <t xml:space="preserve">PrimeLiving Outdoor Heater Max</t>
  </si>
  <si>
    <t xml:space="preserve">2025-03-09</t>
  </si>
  <si>
    <t xml:space="preserve">Urbanox Mirror Pro</t>
  </si>
  <si>
    <t xml:space="preserve">2024-05-22</t>
  </si>
  <si>
    <t xml:space="preserve">Nexa Smart Watch</t>
  </si>
  <si>
    <t xml:space="preserve">2024-05</t>
  </si>
  <si>
    <t xml:space="preserve">2023-03-06</t>
  </si>
  <si>
    <t xml:space="preserve">CoreHome Desk Classic</t>
  </si>
  <si>
    <t xml:space="preserve">2023-04-23</t>
  </si>
  <si>
    <t xml:space="preserve">Lumeo Laptop Classic</t>
  </si>
  <si>
    <t xml:space="preserve">2023-04</t>
  </si>
  <si>
    <t xml:space="preserve">2025-04-24</t>
  </si>
  <si>
    <t xml:space="preserve">Lumeo Grill X</t>
  </si>
  <si>
    <t xml:space="preserve">2025-01-01</t>
  </si>
  <si>
    <t xml:space="preserve">HomeCraft Area Rug Pro</t>
  </si>
  <si>
    <t xml:space="preserve">2025-01</t>
  </si>
  <si>
    <t xml:space="preserve">2023-11-02</t>
  </si>
  <si>
    <t xml:space="preserve">PrimeLiving Toaster Classic</t>
  </si>
  <si>
    <t xml:space="preserve">2025-08-30</t>
  </si>
  <si>
    <t xml:space="preserve">Nexa Mixing Bowls Max</t>
  </si>
  <si>
    <t xml:space="preserve">2025-05-18</t>
  </si>
  <si>
    <t xml:space="preserve">Vantek Cookware Set</t>
  </si>
  <si>
    <t xml:space="preserve">2024-12-30</t>
  </si>
  <si>
    <t xml:space="preserve">Lumeo Vacuum Cleaner Classic</t>
  </si>
  <si>
    <t xml:space="preserve">2025-11-01</t>
  </si>
  <si>
    <t xml:space="preserve">Nexa Cutting Board Pro</t>
  </si>
  <si>
    <t xml:space="preserve">2023-03-02</t>
  </si>
  <si>
    <t xml:space="preserve">2025-10-11</t>
  </si>
  <si>
    <t xml:space="preserve">CoreHome Coffee Maker</t>
  </si>
  <si>
    <t xml:space="preserve">2023-11-07</t>
  </si>
  <si>
    <t xml:space="preserve">HomeCraft Microwave Max</t>
  </si>
  <si>
    <t xml:space="preserve">2023-11-18</t>
  </si>
  <si>
    <t xml:space="preserve">HomeCraft Mirror Pro</t>
  </si>
  <si>
    <t xml:space="preserve">2025-02-26</t>
  </si>
  <si>
    <t xml:space="preserve">Urbanox Mixing Bowls</t>
  </si>
  <si>
    <t xml:space="preserve">2025-02</t>
  </si>
  <si>
    <t xml:space="preserve">2023-12-03</t>
  </si>
  <si>
    <t xml:space="preserve">Vantek Table Lamp X</t>
  </si>
  <si>
    <t xml:space="preserve">2023-12</t>
  </si>
  <si>
    <t xml:space="preserve">2024-06-24</t>
  </si>
  <si>
    <t xml:space="preserve">2024-06</t>
  </si>
  <si>
    <t xml:space="preserve">2023-06-08</t>
  </si>
  <si>
    <t xml:space="preserve">CoreHome Cutting Board X</t>
  </si>
  <si>
    <t xml:space="preserve">2025-09-01</t>
  </si>
  <si>
    <t xml:space="preserve">Nexa Mixing Bowls Lite</t>
  </si>
  <si>
    <t xml:space="preserve">2024-06-08</t>
  </si>
  <si>
    <t xml:space="preserve">Nexa Outdoor Heater Pro</t>
  </si>
  <si>
    <t xml:space="preserve">2024-06-21</t>
  </si>
  <si>
    <t xml:space="preserve">Lumeo Garden Tools Kit Lite</t>
  </si>
  <si>
    <t xml:space="preserve">2024-01-11</t>
  </si>
  <si>
    <t xml:space="preserve">HomeCraft Wall Art Lite</t>
  </si>
  <si>
    <t xml:space="preserve">2024-06-29</t>
  </si>
  <si>
    <t xml:space="preserve">2025-01-13</t>
  </si>
  <si>
    <t xml:space="preserve">2025-08-16</t>
  </si>
  <si>
    <t xml:space="preserve">2023-09-07</t>
  </si>
  <si>
    <t xml:space="preserve">Urbanox Coffee Maker</t>
  </si>
  <si>
    <t xml:space="preserve">2023-09</t>
  </si>
  <si>
    <t xml:space="preserve">2024-12-14</t>
  </si>
  <si>
    <t xml:space="preserve">Aurora Coffee Maker</t>
  </si>
  <si>
    <t xml:space="preserve">Nexa Curtains Lite</t>
  </si>
  <si>
    <t xml:space="preserve">2023-10-07</t>
  </si>
  <si>
    <t xml:space="preserve">CoreHome Knife Set</t>
  </si>
  <si>
    <t xml:space="preserve">2023-10</t>
  </si>
  <si>
    <t xml:space="preserve">2025-01-21</t>
  </si>
  <si>
    <t xml:space="preserve">Nexa Coffee Maker</t>
  </si>
  <si>
    <t xml:space="preserve">HomeCraft Grill Max</t>
  </si>
  <si>
    <t xml:space="preserve">Vantek Dinnerware Set X</t>
  </si>
  <si>
    <t xml:space="preserve">HomeCraft Curtains Max</t>
  </si>
  <si>
    <t xml:space="preserve">2025-11-09</t>
  </si>
  <si>
    <t xml:space="preserve">2025-03-29</t>
  </si>
  <si>
    <t xml:space="preserve">2024-05-05</t>
  </si>
  <si>
    <t xml:space="preserve">Nexa Cutting Board X</t>
  </si>
  <si>
    <t xml:space="preserve">PrimeLiving Cutting Board Classic</t>
  </si>
  <si>
    <t xml:space="preserve">2024-08-04</t>
  </si>
  <si>
    <t xml:space="preserve">Urbanox Blender Classic</t>
  </si>
  <si>
    <t xml:space="preserve">2023-04-18</t>
  </si>
  <si>
    <t xml:space="preserve">PrimeLiving Wall Art X</t>
  </si>
  <si>
    <t xml:space="preserve">2024-06-15</t>
  </si>
  <si>
    <t xml:space="preserve">Vantek Bluetooth Speaker Lite</t>
  </si>
  <si>
    <t xml:space="preserve">2024-01-15</t>
  </si>
  <si>
    <t xml:space="preserve">Vantek Toaster Classic</t>
  </si>
  <si>
    <t xml:space="preserve">2025-08-15</t>
  </si>
  <si>
    <t xml:space="preserve">2025-12-20</t>
  </si>
  <si>
    <t xml:space="preserve">2025-02-19</t>
  </si>
  <si>
    <t xml:space="preserve">PrimeLiving Office Chair Max</t>
  </si>
  <si>
    <t xml:space="preserve">2023-11-22</t>
  </si>
  <si>
    <t xml:space="preserve">2025-05-22</t>
  </si>
  <si>
    <t xml:space="preserve">CoreHome Cutting Board Max</t>
  </si>
  <si>
    <t xml:space="preserve">2024-04-30</t>
  </si>
  <si>
    <t xml:space="preserve">CoreHome Bluetooth Speaker X</t>
  </si>
  <si>
    <t xml:space="preserve">2023-04-01</t>
  </si>
  <si>
    <t xml:space="preserve">2024-11-08</t>
  </si>
  <si>
    <t xml:space="preserve">Aurora Outdoor Heater</t>
  </si>
  <si>
    <t xml:space="preserve">2025-01-18</t>
  </si>
  <si>
    <t xml:space="preserve">2025-02-13</t>
  </si>
  <si>
    <t xml:space="preserve">HomeCraft Throw Pillow</t>
  </si>
  <si>
    <t xml:space="preserve">2024-03-05</t>
  </si>
  <si>
    <t xml:space="preserve">Vantek Tablet Pro</t>
  </si>
  <si>
    <t xml:space="preserve">2024-03</t>
  </si>
  <si>
    <t xml:space="preserve">2024-11-05</t>
  </si>
  <si>
    <t xml:space="preserve">2024-11-07</t>
  </si>
  <si>
    <t xml:space="preserve">2023-11-28</t>
  </si>
  <si>
    <t xml:space="preserve">PrimeLiving Vacuum Cleaner Max</t>
  </si>
  <si>
    <t xml:space="preserve">2025-12-03</t>
  </si>
  <si>
    <t xml:space="preserve">2024-10-20</t>
  </si>
  <si>
    <t xml:space="preserve">Lumeo Cutting Board Classic</t>
  </si>
  <si>
    <t xml:space="preserve">2024-10</t>
  </si>
  <si>
    <t xml:space="preserve">2025-08-09</t>
  </si>
  <si>
    <t xml:space="preserve">Nexa Wall Art Max</t>
  </si>
  <si>
    <t xml:space="preserve">2025-05-03</t>
  </si>
  <si>
    <t xml:space="preserve">Nexa Toaster Classic</t>
  </si>
  <si>
    <t xml:space="preserve">2024-05-25</t>
  </si>
  <si>
    <t xml:space="preserve">HomeCraft Mixing Bowls Pro</t>
  </si>
  <si>
    <t xml:space="preserve">2025-05-17</t>
  </si>
  <si>
    <t xml:space="preserve">PrimeLiving Sofa Lite</t>
  </si>
  <si>
    <t xml:space="preserve">2025-08-18</t>
  </si>
  <si>
    <t xml:space="preserve">PrimeLiving Tablet Pro</t>
  </si>
  <si>
    <t xml:space="preserve">2025-09-02</t>
  </si>
  <si>
    <t xml:space="preserve">Urbanox Area Rug</t>
  </si>
  <si>
    <t xml:space="preserve">Vantek Bluetooth Speaker X</t>
  </si>
  <si>
    <t xml:space="preserve">2025-06-09</t>
  </si>
  <si>
    <t xml:space="preserve">PrimeLiving Sofa X</t>
  </si>
  <si>
    <t xml:space="preserve">2025-06</t>
  </si>
  <si>
    <t xml:space="preserve">2025-06-14</t>
  </si>
  <si>
    <t xml:space="preserve">2025-06-29</t>
  </si>
  <si>
    <t xml:space="preserve">2023-12-25</t>
  </si>
  <si>
    <t xml:space="preserve">Aurora Desk Lite</t>
  </si>
  <si>
    <t xml:space="preserve">2025-06-03</t>
  </si>
  <si>
    <t xml:space="preserve">2024-07-08</t>
  </si>
  <si>
    <t xml:space="preserve">2023-08-04</t>
  </si>
  <si>
    <t xml:space="preserve">2023-08</t>
  </si>
  <si>
    <t xml:space="preserve">2024-11-26</t>
  </si>
  <si>
    <t xml:space="preserve">2024-05-11</t>
  </si>
  <si>
    <t xml:space="preserve">2025-11-05</t>
  </si>
  <si>
    <t xml:space="preserve">2025-12-11</t>
  </si>
  <si>
    <t xml:space="preserve">Urbanox Coffee Table Pro</t>
  </si>
  <si>
    <t xml:space="preserve">2024-12-13</t>
  </si>
  <si>
    <t xml:space="preserve">2024-11-28</t>
  </si>
  <si>
    <t xml:space="preserve">2024-04-12</t>
  </si>
  <si>
    <t xml:space="preserve">Aurora Bluetooth Speaker Pro</t>
  </si>
  <si>
    <t xml:space="preserve">2025-02-05</t>
  </si>
  <si>
    <t xml:space="preserve">Urbanox Outdoor Heater Max</t>
  </si>
  <si>
    <t xml:space="preserve">2023-06-20</t>
  </si>
  <si>
    <t xml:space="preserve">2023-11-09</t>
  </si>
  <si>
    <t xml:space="preserve">2025-01-14</t>
  </si>
  <si>
    <t xml:space="preserve">2023-11-19</t>
  </si>
  <si>
    <t xml:space="preserve">Lumeo Hammock Lite</t>
  </si>
  <si>
    <t xml:space="preserve">2024-11-22</t>
  </si>
  <si>
    <t xml:space="preserve">PrimeLiving Table Lamp X</t>
  </si>
  <si>
    <t xml:space="preserve">2024-02-12</t>
  </si>
  <si>
    <t xml:space="preserve">Nexa Knife Set Max</t>
  </si>
  <si>
    <t xml:space="preserve">2024-02</t>
  </si>
  <si>
    <t xml:space="preserve">2024-06-10</t>
  </si>
  <si>
    <t xml:space="preserve">CoreHome Desk X</t>
  </si>
  <si>
    <t xml:space="preserve">2024-10-02</t>
  </si>
  <si>
    <t xml:space="preserve">Lumeo 4K TV Classic</t>
  </si>
  <si>
    <t xml:space="preserve">2024-12-01</t>
  </si>
  <si>
    <t xml:space="preserve">2025-10-30</t>
  </si>
  <si>
    <t xml:space="preserve">Urbanox Vacuum Cleaner Lite</t>
  </si>
  <si>
    <t xml:space="preserve">2023-07-10</t>
  </si>
  <si>
    <t xml:space="preserve">2023-07</t>
  </si>
  <si>
    <t xml:space="preserve">2025-12-10</t>
  </si>
  <si>
    <t xml:space="preserve">Aurora Wireless Earbuds X</t>
  </si>
  <si>
    <t xml:space="preserve">2025-03-02</t>
  </si>
  <si>
    <t xml:space="preserve">Lumeo Cutting Board X</t>
  </si>
  <si>
    <t xml:space="preserve">2024-07-01</t>
  </si>
  <si>
    <t xml:space="preserve">Vantek Grill Pro</t>
  </si>
  <si>
    <t xml:space="preserve">2025-12-15</t>
  </si>
  <si>
    <t xml:space="preserve">2023-05-04</t>
  </si>
  <si>
    <t xml:space="preserve">Nexa Coffee Table Max</t>
  </si>
  <si>
    <t xml:space="preserve">2023-05</t>
  </si>
  <si>
    <t xml:space="preserve">Vantek Table Lamp Max</t>
  </si>
  <si>
    <t xml:space="preserve">2025-05-10</t>
  </si>
  <si>
    <t xml:space="preserve">HomeCraft Bookshelf Lite</t>
  </si>
  <si>
    <t xml:space="preserve">2024-11-29</t>
  </si>
  <si>
    <t xml:space="preserve">2023-11-17</t>
  </si>
  <si>
    <t xml:space="preserve">Nexa Vacuum Cleaner</t>
  </si>
  <si>
    <t xml:space="preserve">2025-12-14</t>
  </si>
  <si>
    <t xml:space="preserve">Lumeo Office Chair X</t>
  </si>
  <si>
    <t xml:space="preserve">2025-04-22</t>
  </si>
  <si>
    <t xml:space="preserve">2023-06-05</t>
  </si>
  <si>
    <t xml:space="preserve">Nexa Vacuum Cleaner Classic</t>
  </si>
  <si>
    <t xml:space="preserve">2025-03-01</t>
  </si>
  <si>
    <t xml:space="preserve">2023-01-13</t>
  </si>
  <si>
    <t xml:space="preserve">2023-02-24</t>
  </si>
  <si>
    <t xml:space="preserve">2023-02</t>
  </si>
  <si>
    <t xml:space="preserve">2025-08-11</t>
  </si>
  <si>
    <t xml:space="preserve">Nexa Curtains Classic</t>
  </si>
  <si>
    <t xml:space="preserve">2023-07-23</t>
  </si>
  <si>
    <t xml:space="preserve">Urbanox Bluetooth Speaker Lite</t>
  </si>
  <si>
    <t xml:space="preserve">2024-05-09</t>
  </si>
  <si>
    <t xml:space="preserve">Aurora Laptop</t>
  </si>
  <si>
    <t xml:space="preserve">2025-06-24</t>
  </si>
  <si>
    <t xml:space="preserve">PrimeLiving Hammock</t>
  </si>
  <si>
    <t xml:space="preserve">2024-01-24</t>
  </si>
  <si>
    <t xml:space="preserve">Nexa Bluetooth Speaker Lite</t>
  </si>
  <si>
    <t xml:space="preserve">2023-08-06</t>
  </si>
  <si>
    <t xml:space="preserve">2025-07-23</t>
  </si>
  <si>
    <t xml:space="preserve">2025-07</t>
  </si>
  <si>
    <t xml:space="preserve">2024-12-31</t>
  </si>
  <si>
    <t xml:space="preserve">Vantek 4K TV Pro</t>
  </si>
  <si>
    <t xml:space="preserve">2025-01-16</t>
  </si>
  <si>
    <t xml:space="preserve">Nexa Blender Pro</t>
  </si>
  <si>
    <t xml:space="preserve">2023-06-26</t>
  </si>
  <si>
    <t xml:space="preserve">2024-02-10</t>
  </si>
  <si>
    <t xml:space="preserve">2023-11-21</t>
  </si>
  <si>
    <t xml:space="preserve">Nexa Wireless Earbuds Max</t>
  </si>
  <si>
    <t xml:space="preserve">2024-03-11</t>
  </si>
  <si>
    <t xml:space="preserve">2025-12-16</t>
  </si>
  <si>
    <t xml:space="preserve">Aurora Vacuum Cleaner X</t>
  </si>
  <si>
    <t xml:space="preserve">2025-03-05</t>
  </si>
  <si>
    <t xml:space="preserve">2025-09-26</t>
  </si>
  <si>
    <t xml:space="preserve">2025-04-08</t>
  </si>
  <si>
    <t xml:space="preserve">Nexa Wireless Earbuds Classic</t>
  </si>
  <si>
    <t xml:space="preserve">2023-07-03</t>
  </si>
  <si>
    <t xml:space="preserve">Aurora Bed Frame Lite</t>
  </si>
  <si>
    <t xml:space="preserve">2025-12-04</t>
  </si>
  <si>
    <t xml:space="preserve">2025-12-28</t>
  </si>
  <si>
    <t xml:space="preserve">Nexa Vacuum Cleaner X</t>
  </si>
  <si>
    <t xml:space="preserve">2023-05-17</t>
  </si>
  <si>
    <t xml:space="preserve">2023-05-09</t>
  </si>
  <si>
    <t xml:space="preserve">2024-03-18</t>
  </si>
  <si>
    <t xml:space="preserve">Aurora Microwave Pro</t>
  </si>
  <si>
    <t xml:space="preserve">2025-08-24</t>
  </si>
  <si>
    <t xml:space="preserve">2024-03-20</t>
  </si>
  <si>
    <t xml:space="preserve">2023-11-06</t>
  </si>
  <si>
    <t xml:space="preserve">2023-11-30</t>
  </si>
  <si>
    <t xml:space="preserve">Nexa Mirror Classic</t>
  </si>
  <si>
    <t xml:space="preserve">2023-06-07</t>
  </si>
  <si>
    <t xml:space="preserve">Lumeo Cookware Set Pro</t>
  </si>
  <si>
    <t xml:space="preserve">2023-02-17</t>
  </si>
  <si>
    <t xml:space="preserve">Aurora Area Rug Pro</t>
  </si>
  <si>
    <t xml:space="preserve">2025-10-13</t>
  </si>
  <si>
    <t xml:space="preserve">2025-01-03</t>
  </si>
  <si>
    <t xml:space="preserve">2025-02-24</t>
  </si>
  <si>
    <t xml:space="preserve">Lumeo Patio Set Pro</t>
  </si>
  <si>
    <t xml:space="preserve">2023-10-24</t>
  </si>
  <si>
    <t xml:space="preserve">HomeCraft 4K TV Classic</t>
  </si>
  <si>
    <t xml:space="preserve">2025-05-14</t>
  </si>
  <si>
    <t xml:space="preserve">Urbanox Microwave Lite</t>
  </si>
  <si>
    <t xml:space="preserve">2024-05-19</t>
  </si>
  <si>
    <t xml:space="preserve">2025-03-28</t>
  </si>
  <si>
    <t xml:space="preserve">2024-05-07</t>
  </si>
  <si>
    <t xml:space="preserve">Vantek Grill X</t>
  </si>
  <si>
    <t xml:space="preserve">2023-06-03</t>
  </si>
  <si>
    <t xml:space="preserve">CoreHome Desk Max</t>
  </si>
  <si>
    <t xml:space="preserve">2025-07-01</t>
  </si>
  <si>
    <t xml:space="preserve">Lumeo Table Lamp Lite</t>
  </si>
  <si>
    <t xml:space="preserve">2023-10-16</t>
  </si>
  <si>
    <t xml:space="preserve">2025-02-03</t>
  </si>
  <si>
    <t xml:space="preserve">2023-02-26</t>
  </si>
  <si>
    <t xml:space="preserve">2025-12-26</t>
  </si>
  <si>
    <t xml:space="preserve">Vantek Tablet X</t>
  </si>
  <si>
    <t xml:space="preserve">2024-12-12</t>
  </si>
  <si>
    <t xml:space="preserve">2023-03-07</t>
  </si>
  <si>
    <t xml:space="preserve">2024-09-04</t>
  </si>
  <si>
    <t xml:space="preserve">2024-09</t>
  </si>
  <si>
    <t xml:space="preserve">2023-06-01</t>
  </si>
  <si>
    <t xml:space="preserve">2024-03-22</t>
  </si>
  <si>
    <t xml:space="preserve">2023-03-25</t>
  </si>
  <si>
    <t xml:space="preserve">2025-11-23</t>
  </si>
  <si>
    <t xml:space="preserve">2023-11-08</t>
  </si>
  <si>
    <t xml:space="preserve">2025-08-28</t>
  </si>
  <si>
    <t xml:space="preserve">2023-07-04</t>
  </si>
  <si>
    <t xml:space="preserve">2023-09-27</t>
  </si>
  <si>
    <t xml:space="preserve">2023-04-09</t>
  </si>
  <si>
    <t xml:space="preserve">Vantek Toaster Max</t>
  </si>
  <si>
    <t xml:space="preserve">2024-08-21</t>
  </si>
  <si>
    <t xml:space="preserve">HomeCraft 4K TV Pro</t>
  </si>
  <si>
    <t xml:space="preserve">2024-10-17</t>
  </si>
  <si>
    <t xml:space="preserve">2023-08-17</t>
  </si>
  <si>
    <t xml:space="preserve">2025-04-10</t>
  </si>
  <si>
    <t xml:space="preserve">2023-02-27</t>
  </si>
  <si>
    <t xml:space="preserve">2025-11-04</t>
  </si>
  <si>
    <t xml:space="preserve">HomeCraft Office Chair</t>
  </si>
  <si>
    <t xml:space="preserve">2025-11-15</t>
  </si>
  <si>
    <t xml:space="preserve">2025-02-27</t>
  </si>
  <si>
    <t xml:space="preserve">2024-04-13</t>
  </si>
  <si>
    <t xml:space="preserve">2024-02-22</t>
  </si>
  <si>
    <t xml:space="preserve">2023-10-10</t>
  </si>
  <si>
    <t xml:space="preserve">2025-11-19</t>
  </si>
  <si>
    <t xml:space="preserve">Aurora Curtains Classic</t>
  </si>
  <si>
    <t xml:space="preserve">Urbanox Laptop</t>
  </si>
  <si>
    <t xml:space="preserve">2024-03-14</t>
  </si>
  <si>
    <t xml:space="preserve">Nexa Garden Tools Kit Pro</t>
  </si>
  <si>
    <t xml:space="preserve">2023-03-22</t>
  </si>
  <si>
    <t xml:space="preserve">2023-12-28</t>
  </si>
  <si>
    <t xml:space="preserve">2024-12-09</t>
  </si>
  <si>
    <t xml:space="preserve">2024-09-20</t>
  </si>
  <si>
    <t xml:space="preserve">Lumeo Curtains Max</t>
  </si>
  <si>
    <t xml:space="preserve">2025-10-21</t>
  </si>
  <si>
    <t xml:space="preserve">Nexa Knife Set X</t>
  </si>
  <si>
    <t xml:space="preserve">2023-12-17</t>
  </si>
  <si>
    <t xml:space="preserve">PrimeLiving Garden Tools Kit Pro</t>
  </si>
  <si>
    <t xml:space="preserve">2025-01-08</t>
  </si>
  <si>
    <t xml:space="preserve">2023-06-15</t>
  </si>
  <si>
    <t xml:space="preserve">Lumeo Patio Set Classic</t>
  </si>
  <si>
    <t xml:space="preserve">2023-12-16</t>
  </si>
  <si>
    <t xml:space="preserve">2025-05-02</t>
  </si>
  <si>
    <t xml:space="preserve">2025-03-26</t>
  </si>
  <si>
    <t xml:space="preserve">2025-09-30</t>
  </si>
  <si>
    <t xml:space="preserve">2024-10-21</t>
  </si>
  <si>
    <t xml:space="preserve">Nexa Wall Art</t>
  </si>
  <si>
    <t xml:space="preserve">2023-03-19</t>
  </si>
  <si>
    <t xml:space="preserve">CoreHome Blender Max</t>
  </si>
  <si>
    <t xml:space="preserve">2023-09-04</t>
  </si>
  <si>
    <t xml:space="preserve">2025-12-17</t>
  </si>
  <si>
    <t xml:space="preserve">2024-05-14</t>
  </si>
  <si>
    <t xml:space="preserve">2025-06-11</t>
  </si>
  <si>
    <t xml:space="preserve">2023-01-24</t>
  </si>
  <si>
    <t xml:space="preserve">Lumeo Knife Set Max</t>
  </si>
  <si>
    <t xml:space="preserve">2025-03-14</t>
  </si>
  <si>
    <t xml:space="preserve">2023-12-10</t>
  </si>
  <si>
    <t xml:space="preserve">2024-10-03</t>
  </si>
  <si>
    <t xml:space="preserve">2025-09-03</t>
  </si>
  <si>
    <t xml:space="preserve">2024-12-04</t>
  </si>
  <si>
    <t xml:space="preserve">Aurora Area Rug Max</t>
  </si>
  <si>
    <t xml:space="preserve">2024-11-25</t>
  </si>
  <si>
    <t xml:space="preserve">2025-11-10</t>
  </si>
  <si>
    <t xml:space="preserve">2023-07-06</t>
  </si>
  <si>
    <t xml:space="preserve">Nexa Tablet Lite</t>
  </si>
  <si>
    <t xml:space="preserve">2025-09-16</t>
  </si>
  <si>
    <t xml:space="preserve">CoreHome Wall Art</t>
  </si>
  <si>
    <t xml:space="preserve">2024-02-19</t>
  </si>
  <si>
    <t xml:space="preserve">2025-12-12</t>
  </si>
  <si>
    <t xml:space="preserve">2023-09-20</t>
  </si>
  <si>
    <t xml:space="preserve">CoreHome Bed Frame Classic</t>
  </si>
  <si>
    <t xml:space="preserve">2024-12-15</t>
  </si>
  <si>
    <t xml:space="preserve">2023-12-01</t>
  </si>
  <si>
    <t xml:space="preserve">Nexa Microwave Pro</t>
  </si>
  <si>
    <t xml:space="preserve">2023-12-24</t>
  </si>
  <si>
    <t xml:space="preserve">2024-11-27</t>
  </si>
  <si>
    <t xml:space="preserve">2023-11-04</t>
  </si>
  <si>
    <t xml:space="preserve">2024-05-30</t>
  </si>
  <si>
    <t xml:space="preserve">2024-07-22</t>
  </si>
  <si>
    <t xml:space="preserve">2024-10-22</t>
  </si>
  <si>
    <t xml:space="preserve">2024-08-31</t>
  </si>
  <si>
    <t xml:space="preserve">2025-12-06</t>
  </si>
  <si>
    <t xml:space="preserve">2025-02-02</t>
  </si>
  <si>
    <t xml:space="preserve">Vantek Vacuum Cleaner Max</t>
  </si>
  <si>
    <t xml:space="preserve">2024-08-17</t>
  </si>
  <si>
    <t xml:space="preserve">2025-12-18</t>
  </si>
  <si>
    <t xml:space="preserve">HomeCraft Throw Pillow Pro</t>
  </si>
  <si>
    <t xml:space="preserve">2023-08-30</t>
  </si>
  <si>
    <t xml:space="preserve">2023-03-29</t>
  </si>
  <si>
    <t xml:space="preserve">2024-10-04</t>
  </si>
  <si>
    <t xml:space="preserve">2023-04-02</t>
  </si>
  <si>
    <t xml:space="preserve">2024-06-28</t>
  </si>
  <si>
    <t xml:space="preserve">2023-10-03</t>
  </si>
  <si>
    <t xml:space="preserve">2023-11-12</t>
  </si>
  <si>
    <t xml:space="preserve">2024-12-02</t>
  </si>
  <si>
    <t xml:space="preserve">2025-06-20</t>
  </si>
  <si>
    <t xml:space="preserve">2023-01-21</t>
  </si>
  <si>
    <t xml:space="preserve">PrimeLiving Blender Max</t>
  </si>
  <si>
    <t xml:space="preserve">2024-09-09</t>
  </si>
  <si>
    <t xml:space="preserve">2025-11-12</t>
  </si>
  <si>
    <t xml:space="preserve">2023-08-03</t>
  </si>
  <si>
    <t xml:space="preserve">2025-07-29</t>
  </si>
  <si>
    <t xml:space="preserve">2025-03-10</t>
  </si>
  <si>
    <t xml:space="preserve">2023-12-08</t>
  </si>
  <si>
    <t xml:space="preserve">2024-01-28</t>
  </si>
  <si>
    <t xml:space="preserve">2025-12-23</t>
  </si>
  <si>
    <t xml:space="preserve">2025-08-22</t>
  </si>
  <si>
    <t xml:space="preserve">CoreHome Mixing Bowls Pro</t>
  </si>
  <si>
    <t xml:space="preserve">2023-08-20</t>
  </si>
  <si>
    <t xml:space="preserve">2025-03-06</t>
  </si>
  <si>
    <t xml:space="preserve">2025-04-03</t>
  </si>
  <si>
    <t xml:space="preserve">2024-11-21</t>
  </si>
  <si>
    <t xml:space="preserve">2025-07-07</t>
  </si>
  <si>
    <t xml:space="preserve">Urbanox Patio Set X</t>
  </si>
  <si>
    <t xml:space="preserve">2025-02-15</t>
  </si>
  <si>
    <t xml:space="preserve">Aurora Smart Watch X</t>
  </si>
  <si>
    <t xml:space="preserve">2023-04-08</t>
  </si>
  <si>
    <t xml:space="preserve">CoreHome Cookware Set Pro</t>
  </si>
  <si>
    <t xml:space="preserve">2023-07-09</t>
  </si>
  <si>
    <t xml:space="preserve">2025-06-02</t>
  </si>
  <si>
    <t xml:space="preserve">2023-06-18</t>
  </si>
  <si>
    <t xml:space="preserve">Lumeo Table Lamp X</t>
  </si>
  <si>
    <t xml:space="preserve">2024-04-05</t>
  </si>
  <si>
    <t xml:space="preserve">2023-12-12</t>
  </si>
  <si>
    <t xml:space="preserve">2023-11-03</t>
  </si>
  <si>
    <t xml:space="preserve">Urbanox Tablet Classic</t>
  </si>
  <si>
    <t xml:space="preserve">2023-11-01</t>
  </si>
  <si>
    <t xml:space="preserve">Lumeo Tablet Max</t>
  </si>
  <si>
    <t xml:space="preserve">2025-01-10</t>
  </si>
  <si>
    <t xml:space="preserve">2023-11-15</t>
  </si>
  <si>
    <t xml:space="preserve">2023-07-19</t>
  </si>
  <si>
    <t xml:space="preserve">2024-06-07</t>
  </si>
  <si>
    <t xml:space="preserve">2023-12-20</t>
  </si>
  <si>
    <t xml:space="preserve">CoreHome Microwave</t>
  </si>
  <si>
    <t xml:space="preserve">2024-01-18</t>
  </si>
  <si>
    <t xml:space="preserve">2023-02-02</t>
  </si>
  <si>
    <t xml:space="preserve">2025-05-29</t>
  </si>
  <si>
    <t xml:space="preserve">2023-12-22</t>
  </si>
  <si>
    <t xml:space="preserve">2024-12-07</t>
  </si>
  <si>
    <t xml:space="preserve">2023-08-10</t>
  </si>
  <si>
    <t xml:space="preserve">Urbanox Hammock Pro</t>
  </si>
  <si>
    <t xml:space="preserve">2024-01-09</t>
  </si>
  <si>
    <t xml:space="preserve">2023-12-19</t>
  </si>
  <si>
    <t xml:space="preserve">2024-08-06</t>
  </si>
  <si>
    <t xml:space="preserve">Nexa Dinnerware Set</t>
  </si>
  <si>
    <t xml:space="preserve">2023-03-31</t>
  </si>
  <si>
    <t xml:space="preserve">2024-06-06</t>
  </si>
  <si>
    <t xml:space="preserve">2024-05-08</t>
  </si>
  <si>
    <t xml:space="preserve">2023-04-21</t>
  </si>
  <si>
    <t xml:space="preserve">Lumeo Coffee Table Lite</t>
  </si>
  <si>
    <t xml:space="preserve">2025-08-08</t>
  </si>
  <si>
    <t xml:space="preserve">Lumeo Garden Tools Kit Max</t>
  </si>
  <si>
    <t xml:space="preserve">2025-05-11</t>
  </si>
  <si>
    <t xml:space="preserve">2024-02-21</t>
  </si>
  <si>
    <t xml:space="preserve">2025-02-18</t>
  </si>
  <si>
    <t xml:space="preserve">2023-11-14</t>
  </si>
  <si>
    <t xml:space="preserve">2025-03-21</t>
  </si>
  <si>
    <t xml:space="preserve">2023-12-13</t>
  </si>
  <si>
    <t xml:space="preserve">2025-12-19</t>
  </si>
  <si>
    <t xml:space="preserve">2025-04-02</t>
  </si>
  <si>
    <t xml:space="preserve">HomeCraft Outdoor Heater Max</t>
  </si>
  <si>
    <t xml:space="preserve">2025-11-17</t>
  </si>
  <si>
    <t xml:space="preserve">CoreHome Hammock</t>
  </si>
  <si>
    <t xml:space="preserve">2024-12-17</t>
  </si>
  <si>
    <t xml:space="preserve">2024-12-10</t>
  </si>
  <si>
    <t xml:space="preserve">Lumeo Bookshelf</t>
  </si>
  <si>
    <t xml:space="preserve">2024-05-27</t>
  </si>
  <si>
    <t xml:space="preserve">2023-10-28</t>
  </si>
  <si>
    <t xml:space="preserve">Lumeo Bookshelf Max</t>
  </si>
  <si>
    <t xml:space="preserve">2024-10-25</t>
  </si>
  <si>
    <t xml:space="preserve">CoreHome Garden Tools Kit Lite</t>
  </si>
  <si>
    <t xml:space="preserve">2023-05-28</t>
  </si>
  <si>
    <t xml:space="preserve">2024-11-10</t>
  </si>
  <si>
    <t xml:space="preserve">2024-11-20</t>
  </si>
  <si>
    <t xml:space="preserve">2025-04-04</t>
  </si>
  <si>
    <t xml:space="preserve">2025-05-05</t>
  </si>
  <si>
    <t xml:space="preserve">2023-04-19</t>
  </si>
  <si>
    <t xml:space="preserve">2025-12-08</t>
  </si>
  <si>
    <t xml:space="preserve">CoreHome Throw Pillow Max</t>
  </si>
  <si>
    <t xml:space="preserve">2024-07-13</t>
  </si>
  <si>
    <t xml:space="preserve">2023-05-10</t>
  </si>
  <si>
    <t xml:space="preserve">2024-07-14</t>
  </si>
  <si>
    <t xml:space="preserve">Lumeo Knife Set Classic</t>
  </si>
  <si>
    <t xml:space="preserve">2025-04-01</t>
  </si>
  <si>
    <t xml:space="preserve">2024-01-03</t>
  </si>
  <si>
    <t xml:space="preserve">2025-09-29</t>
  </si>
  <si>
    <t xml:space="preserve">2023-11-23</t>
  </si>
  <si>
    <t xml:space="preserve">Vantek Table Lamp</t>
  </si>
  <si>
    <t xml:space="preserve">2023-07-20</t>
  </si>
  <si>
    <t xml:space="preserve">2025-02-04</t>
  </si>
  <si>
    <t xml:space="preserve">2025-09-24</t>
  </si>
  <si>
    <t xml:space="preserve">2025-05-06</t>
  </si>
  <si>
    <t xml:space="preserve">2024-06-25</t>
  </si>
  <si>
    <t xml:space="preserve">2024-04-04</t>
  </si>
  <si>
    <t xml:space="preserve">2024-01-10</t>
  </si>
  <si>
    <t xml:space="preserve">Vantek Coffee Table</t>
  </si>
  <si>
    <t xml:space="preserve">2023-02-25</t>
  </si>
  <si>
    <t xml:space="preserve">Nexa Office Chair Lite</t>
  </si>
  <si>
    <t xml:space="preserve">2025-01-31</t>
  </si>
  <si>
    <t xml:space="preserve">2024-11-14</t>
  </si>
  <si>
    <t xml:space="preserve">2023-12-27</t>
  </si>
  <si>
    <t xml:space="preserve">2025-12-21</t>
  </si>
  <si>
    <t xml:space="preserve">2023-11-05</t>
  </si>
  <si>
    <t xml:space="preserve">2023-12-31</t>
  </si>
  <si>
    <t xml:space="preserve">2024-03-25</t>
  </si>
  <si>
    <t xml:space="preserve">2025-09-19</t>
  </si>
  <si>
    <t xml:space="preserve">2025-11-08</t>
  </si>
  <si>
    <t xml:space="preserve">2024-11-12</t>
  </si>
  <si>
    <t xml:space="preserve">2023-05-30</t>
  </si>
  <si>
    <t xml:space="preserve">2025-08-02</t>
  </si>
  <si>
    <t xml:space="preserve">2023-09-16</t>
  </si>
  <si>
    <t xml:space="preserve">2024-10-29</t>
  </si>
  <si>
    <t xml:space="preserve">2023-05-25</t>
  </si>
  <si>
    <t xml:space="preserve">2025-12-01</t>
  </si>
  <si>
    <t xml:space="preserve">2025-02-07</t>
  </si>
  <si>
    <t xml:space="preserve">Lumeo Outdoor Heater Max</t>
  </si>
  <si>
    <t xml:space="preserve">2024-10-07</t>
  </si>
  <si>
    <t xml:space="preserve">Urbanox Desk</t>
  </si>
  <si>
    <t xml:space="preserve">2024-02-27</t>
  </si>
  <si>
    <t xml:space="preserve">2024-09-13</t>
  </si>
  <si>
    <t xml:space="preserve">2024-12-06</t>
  </si>
  <si>
    <t xml:space="preserve">2023-10-29</t>
  </si>
  <si>
    <t xml:space="preserve">Nexa Bed Frame Pro</t>
  </si>
  <si>
    <t xml:space="preserve">2025-02-28</t>
  </si>
  <si>
    <t xml:space="preserve">2024-07-09</t>
  </si>
  <si>
    <t xml:space="preserve">2025-12-29</t>
  </si>
  <si>
    <t xml:space="preserve">2023-12-23</t>
  </si>
  <si>
    <t xml:space="preserve">2023-05-02</t>
  </si>
  <si>
    <t xml:space="preserve">2023-11-20</t>
  </si>
  <si>
    <t xml:space="preserve">2025-11-13</t>
  </si>
  <si>
    <t xml:space="preserve">2023-07-08</t>
  </si>
  <si>
    <t xml:space="preserve">2023-12-04</t>
  </si>
  <si>
    <t xml:space="preserve">2025-05-23</t>
  </si>
  <si>
    <t xml:space="preserve">2023-03-17</t>
  </si>
  <si>
    <t xml:space="preserve">2023-03-08</t>
  </si>
  <si>
    <t xml:space="preserve">2024-04-26</t>
  </si>
  <si>
    <t xml:space="preserve">2025-06-08</t>
  </si>
  <si>
    <t xml:space="preserve">Nexa Bed Frame</t>
  </si>
  <si>
    <t xml:space="preserve">2023-09-19</t>
  </si>
  <si>
    <t xml:space="preserve">2023-09-25</t>
  </si>
  <si>
    <t xml:space="preserve">2025-11-29</t>
  </si>
  <si>
    <t xml:space="preserve">2023-09-22</t>
  </si>
  <si>
    <t xml:space="preserve">2025-01-06</t>
  </si>
  <si>
    <t xml:space="preserve">2025-11-26</t>
  </si>
  <si>
    <t xml:space="preserve">2023-03-09</t>
  </si>
  <si>
    <t xml:space="preserve">2024-10-05</t>
  </si>
  <si>
    <t xml:space="preserve">2024-11-23</t>
  </si>
  <si>
    <t xml:space="preserve">Nexa Cookware Set</t>
  </si>
  <si>
    <t xml:space="preserve">2023-12-14</t>
  </si>
  <si>
    <t xml:space="preserve">2024-11-09</t>
  </si>
  <si>
    <t xml:space="preserve">2024-09-10</t>
  </si>
  <si>
    <t xml:space="preserve">2023-05-13</t>
  </si>
  <si>
    <t xml:space="preserve">2023-08-09</t>
  </si>
  <si>
    <t xml:space="preserve">2024-02-15</t>
  </si>
  <si>
    <t xml:space="preserve">2023-01-05</t>
  </si>
  <si>
    <t xml:space="preserve">2024-11-13</t>
  </si>
  <si>
    <t xml:space="preserve">CoreHome Bluetooth Speaker Pro</t>
  </si>
  <si>
    <t xml:space="preserve">2025-08-03</t>
  </si>
  <si>
    <t xml:space="preserve">2025-12-30</t>
  </si>
  <si>
    <t xml:space="preserve">2025-11-18</t>
  </si>
  <si>
    <t xml:space="preserve">2025-09-11</t>
  </si>
  <si>
    <t xml:space="preserve">2025-11-02</t>
  </si>
  <si>
    <t xml:space="preserve">2023-11-11</t>
  </si>
  <si>
    <t xml:space="preserve">2024-02-06</t>
  </si>
  <si>
    <t xml:space="preserve">2024-10-10</t>
  </si>
  <si>
    <t xml:space="preserve">2024-05-02</t>
  </si>
  <si>
    <t xml:space="preserve">Nexa Coffee Table Lite</t>
  </si>
  <si>
    <t xml:space="preserve">2023-02-11</t>
  </si>
  <si>
    <t xml:space="preserve">2025-10-17</t>
  </si>
  <si>
    <t xml:space="preserve">2024-04-09</t>
  </si>
  <si>
    <t xml:space="preserve">2023-02-13</t>
  </si>
  <si>
    <t xml:space="preserve">2024-09-11</t>
  </si>
  <si>
    <t xml:space="preserve">2024-04-15</t>
  </si>
  <si>
    <t xml:space="preserve">PrimeLiving Coffee Table X</t>
  </si>
  <si>
    <t xml:space="preserve">2024-11-02</t>
  </si>
  <si>
    <t xml:space="preserve">2023-10-25</t>
  </si>
  <si>
    <t xml:space="preserve">2023-06-16</t>
  </si>
  <si>
    <t xml:space="preserve">2023-08-01</t>
  </si>
  <si>
    <t xml:space="preserve">2025-10-03</t>
  </si>
  <si>
    <t xml:space="preserve">2024-12-23</t>
  </si>
  <si>
    <t xml:space="preserve">Lumeo Patio Set X</t>
  </si>
  <si>
    <t xml:space="preserve">2023-02-10</t>
  </si>
  <si>
    <t xml:space="preserve">2025-06-12</t>
  </si>
  <si>
    <t xml:space="preserve">2025-10-15</t>
  </si>
  <si>
    <t xml:space="preserve">2023-02-05</t>
  </si>
  <si>
    <t xml:space="preserve">2025-03-07</t>
  </si>
  <si>
    <t xml:space="preserve">Revenue by Region x Category (Pivot-Style Summary)</t>
  </si>
  <si>
    <t xml:space="preserve">Built with SUMIFS formulas referencing 'Transaction Sample' — right-click any cell range and Insert &gt; PivotTable to convert to a native Excel PivotTable from this same source data.</t>
  </si>
  <si>
    <t xml:space="preserve">Region</t>
  </si>
  <si>
    <t xml:space="preserve">Grand Total</t>
  </si>
  <si>
    <t xml:space="preserve">Monthly Revenue, Profit &amp; Margin (Pivot-Style Summary)</t>
  </si>
  <si>
    <t xml:space="preserve">Month</t>
  </si>
  <si>
    <t xml:space="preserve">Revenue</t>
  </si>
  <si>
    <t xml:space="preserve">Profit</t>
  </si>
  <si>
    <t xml:space="preserve">Margin %</t>
  </si>
  <si>
    <t xml:space="preserve">Product Lookup — VLOOKUP &amp; INDEX/MATCH Demo</t>
  </si>
  <si>
    <t xml:space="preserve">Enter a Product ID in the yellow cell below to look up its details.</t>
  </si>
  <si>
    <t xml:space="preserve">product_id</t>
  </si>
  <si>
    <t xml:space="preserve">unit_cost</t>
  </si>
  <si>
    <t xml:space="preserve">PrimeLiving Knife Set Lite</t>
  </si>
  <si>
    <t xml:space="preserve">PrimeLiving Outdoor Heater Classic</t>
  </si>
  <si>
    <t xml:space="preserve">Lookup Product ID:</t>
  </si>
  <si>
    <t xml:space="preserve">Product Name (VLOOKUP):</t>
  </si>
  <si>
    <t xml:space="preserve">Category (VLOOKUP):</t>
  </si>
  <si>
    <t xml:space="preserve">Unit Price (INDEX/MATCH):</t>
  </si>
  <si>
    <t xml:space="preserve">Note:</t>
  </si>
  <si>
    <t xml:space="preserve">INDEX/MATCH above is the pre-2019 equivalent of XLOOKUP =XLOOKUP(B19,A5:A16,E5:E16) — shown as INDEX/MATCH for compatibility with older Excel versions and this file's verification tooling.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</si>
</sst>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#,##0"/>
    <numFmt numFmtId="168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B57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0"/>
      <color rgb="FF1F3B57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3F1"/>
        <bgColor rgb="FFF9F9F9"/>
      </patternFill>
    </fill>
    <fill>
      <patternFill patternType="solid">
        <fgColor rgb="FF1F3B57"/>
        <bgColor rgb="FF003366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FF2CC"/>
      <rgbColor rgb="FFEAF3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FF6600"/>
      <rgbColor rgb="FF8064A2"/>
      <rgbColor rgb="FF888888"/>
      <rgbColor rgb="FF003366"/>
      <rgbColor rgb="FF4F81BD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Region, Split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'Pivot Summary'!B4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Southwest</c:v>
                </c:pt>
                <c:pt idx="4">
                  <c:v>West</c:v>
                </c:pt>
              </c:strCache>
            </c:strRef>
          </c:cat>
          <c:val>
            <c:numRef>
              <c:f>'Pivot Summary'!$B$5:$B$9</c:f>
              <c:numCache>
                <c:formatCode>\$#,##0</c:formatCode>
                <c:ptCount val="5"/>
                <c:pt idx="0">
                  <c:v>25050.28</c:v>
                </c:pt>
                <c:pt idx="1">
                  <c:v>23129.54</c:v>
                </c:pt>
                <c:pt idx="2">
                  <c:v>41614.62</c:v>
                </c:pt>
                <c:pt idx="3">
                  <c:v>28060.14</c:v>
                </c:pt>
                <c:pt idx="4">
                  <c:v>19690.87</c:v>
                </c:pt>
              </c:numCache>
            </c:numRef>
          </c:val>
        </c:ser>
        <c:ser>
          <c:idx val="1"/>
          <c:order val="1"/>
          <c:tx>
            <c:strRef>
              <c:f>'Pivot Summary'!C4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Southwest</c:v>
                </c:pt>
                <c:pt idx="4">
                  <c:v>West</c:v>
                </c:pt>
              </c:strCache>
            </c:strRef>
          </c:cat>
          <c:val>
            <c:numRef>
              <c:f>'Pivot Summary'!$C$5:$C$9</c:f>
              <c:numCache>
                <c:formatCode>\$#,##0</c:formatCode>
                <c:ptCount val="5"/>
                <c:pt idx="0">
                  <c:v>5833.25</c:v>
                </c:pt>
                <c:pt idx="1">
                  <c:v>5810.01</c:v>
                </c:pt>
                <c:pt idx="2">
                  <c:v>13053.26</c:v>
                </c:pt>
                <c:pt idx="3">
                  <c:v>6564.02</c:v>
                </c:pt>
                <c:pt idx="4">
                  <c:v>8351.37</c:v>
                </c:pt>
              </c:numCache>
            </c:numRef>
          </c:val>
        </c:ser>
        <c:ser>
          <c:idx val="2"/>
          <c:order val="2"/>
          <c:tx>
            <c:strRef>
              <c:f>'Pivot Summary'!D4</c:f>
              <c:strCache>
                <c:ptCount val="1"/>
                <c:pt idx="0">
                  <c:v>Home Appliances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Southwest</c:v>
                </c:pt>
                <c:pt idx="4">
                  <c:v>West</c:v>
                </c:pt>
              </c:strCache>
            </c:strRef>
          </c:cat>
          <c:val>
            <c:numRef>
              <c:f>'Pivot Summary'!$D$5:$D$9</c:f>
              <c:numCache>
                <c:formatCode>\$#,##0</c:formatCode>
                <c:ptCount val="5"/>
                <c:pt idx="0">
                  <c:v>9123.36</c:v>
                </c:pt>
                <c:pt idx="1">
                  <c:v>3655.66</c:v>
                </c:pt>
                <c:pt idx="2">
                  <c:v>5663.48</c:v>
                </c:pt>
                <c:pt idx="3">
                  <c:v>8073.17</c:v>
                </c:pt>
                <c:pt idx="4">
                  <c:v>5200.35</c:v>
                </c:pt>
              </c:numCache>
            </c:numRef>
          </c:val>
        </c:ser>
        <c:ser>
          <c:idx val="3"/>
          <c:order val="3"/>
          <c:tx>
            <c:strRef>
              <c:f>'Pivot Summary'!E4</c:f>
              <c:strCache>
                <c:ptCount val="1"/>
                <c:pt idx="0">
                  <c:v>Home Decor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Southwest</c:v>
                </c:pt>
                <c:pt idx="4">
                  <c:v>West</c:v>
                </c:pt>
              </c:strCache>
            </c:strRef>
          </c:cat>
          <c:val>
            <c:numRef>
              <c:f>'Pivot Summary'!$E$5:$E$9</c:f>
              <c:numCache>
                <c:formatCode>\$#,##0</c:formatCode>
                <c:ptCount val="5"/>
                <c:pt idx="0">
                  <c:v>2759.88</c:v>
                </c:pt>
                <c:pt idx="1">
                  <c:v>2563.09</c:v>
                </c:pt>
                <c:pt idx="2">
                  <c:v>3011.57</c:v>
                </c:pt>
                <c:pt idx="3">
                  <c:v>2991.62</c:v>
                </c:pt>
                <c:pt idx="4">
                  <c:v>2977.9</c:v>
                </c:pt>
              </c:numCache>
            </c:numRef>
          </c:val>
        </c:ser>
        <c:ser>
          <c:idx val="4"/>
          <c:order val="4"/>
          <c:tx>
            <c:strRef>
              <c:f>'Pivot Summary'!F4</c:f>
              <c:strCache>
                <c:ptCount val="1"/>
                <c:pt idx="0">
                  <c:v>Kitchenware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Southwest</c:v>
                </c:pt>
                <c:pt idx="4">
                  <c:v>West</c:v>
                </c:pt>
              </c:strCache>
            </c:strRef>
          </c:cat>
          <c:val>
            <c:numRef>
              <c:f>'Pivot Summary'!$F$5:$F$9</c:f>
              <c:numCache>
                <c:formatCode>\$#,##0</c:formatCode>
                <c:ptCount val="5"/>
                <c:pt idx="0">
                  <c:v>2611.43</c:v>
                </c:pt>
                <c:pt idx="1">
                  <c:v>1669.96</c:v>
                </c:pt>
                <c:pt idx="2">
                  <c:v>3637.6</c:v>
                </c:pt>
                <c:pt idx="3">
                  <c:v>3684.22</c:v>
                </c:pt>
                <c:pt idx="4">
                  <c:v>2835.67</c:v>
                </c:pt>
              </c:numCache>
            </c:numRef>
          </c:val>
        </c:ser>
        <c:ser>
          <c:idx val="5"/>
          <c:order val="5"/>
          <c:tx>
            <c:strRef>
              <c:f>'Pivot Summary'!G4</c:f>
              <c:strCache>
                <c:ptCount val="1"/>
                <c:pt idx="0">
                  <c:v>Outdoor &amp; Garden</c:v>
                </c:pt>
              </c:strCache>
            </c:strRef>
          </c:tx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Southwest</c:v>
                </c:pt>
                <c:pt idx="4">
                  <c:v>West</c:v>
                </c:pt>
              </c:strCache>
            </c:strRef>
          </c:cat>
          <c:val>
            <c:numRef>
              <c:f>'Pivot Summary'!$G$5:$G$9</c:f>
              <c:numCache>
                <c:formatCode>\$#,##0</c:formatCode>
                <c:ptCount val="5"/>
                <c:pt idx="0">
                  <c:v>6208.68</c:v>
                </c:pt>
                <c:pt idx="1">
                  <c:v>4943.76</c:v>
                </c:pt>
                <c:pt idx="2">
                  <c:v>8934.08</c:v>
                </c:pt>
                <c:pt idx="3">
                  <c:v>8131.05</c:v>
                </c:pt>
                <c:pt idx="4">
                  <c:v>3211.5</c:v>
                </c:pt>
              </c:numCache>
            </c:numRef>
          </c:val>
        </c:ser>
        <c:gapWidth val="150"/>
        <c:overlap val="100"/>
        <c:axId val="13144739"/>
        <c:axId val="12784178"/>
      </c:barChart>
      <c:catAx>
        <c:axId val="131447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84178"/>
        <c:crosses val="autoZero"/>
        <c:auto val="1"/>
        <c:lblAlgn val="ctr"/>
        <c:lblOffset val="100"/>
        <c:noMultiLvlLbl val="0"/>
      </c:catAx>
      <c:valAx>
        <c:axId val="12784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447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Trend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Trend'!$A$4:$A$39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'Monthly Trend'!$B$4:$B$39</c:f>
              <c:numCache>
                <c:formatCode>\$#,##0</c:formatCode>
                <c:ptCount val="36"/>
                <c:pt idx="0">
                  <c:v>1882.97</c:v>
                </c:pt>
                <c:pt idx="1">
                  <c:v>9249.79</c:v>
                </c:pt>
                <c:pt idx="2">
                  <c:v>7043.7</c:v>
                </c:pt>
                <c:pt idx="3">
                  <c:v>4197.16</c:v>
                </c:pt>
                <c:pt idx="4">
                  <c:v>7671.86</c:v>
                </c:pt>
                <c:pt idx="5">
                  <c:v>5012.91</c:v>
                </c:pt>
                <c:pt idx="6">
                  <c:v>5697.8</c:v>
                </c:pt>
                <c:pt idx="7">
                  <c:v>8350.35</c:v>
                </c:pt>
                <c:pt idx="8">
                  <c:v>5126.72</c:v>
                </c:pt>
                <c:pt idx="9">
                  <c:v>4538.96</c:v>
                </c:pt>
                <c:pt idx="10">
                  <c:v>18054.43</c:v>
                </c:pt>
                <c:pt idx="11">
                  <c:v>15890.67</c:v>
                </c:pt>
                <c:pt idx="12">
                  <c:v>6076.54</c:v>
                </c:pt>
                <c:pt idx="13">
                  <c:v>6673.38</c:v>
                </c:pt>
                <c:pt idx="14">
                  <c:v>5838.49</c:v>
                </c:pt>
                <c:pt idx="15">
                  <c:v>5793.94</c:v>
                </c:pt>
                <c:pt idx="16">
                  <c:v>6273.75</c:v>
                </c:pt>
                <c:pt idx="17">
                  <c:v>6983.96</c:v>
                </c:pt>
                <c:pt idx="18">
                  <c:v>3064.66</c:v>
                </c:pt>
                <c:pt idx="19">
                  <c:v>3427.52</c:v>
                </c:pt>
                <c:pt idx="20">
                  <c:v>2613.34</c:v>
                </c:pt>
                <c:pt idx="21">
                  <c:v>9485.7</c:v>
                </c:pt>
                <c:pt idx="22">
                  <c:v>20228.82</c:v>
                </c:pt>
                <c:pt idx="23">
                  <c:v>8567.55</c:v>
                </c:pt>
                <c:pt idx="24">
                  <c:v>5103.16</c:v>
                </c:pt>
                <c:pt idx="25">
                  <c:v>6567.73</c:v>
                </c:pt>
                <c:pt idx="26">
                  <c:v>4426.07</c:v>
                </c:pt>
                <c:pt idx="27">
                  <c:v>5628.13</c:v>
                </c:pt>
                <c:pt idx="28">
                  <c:v>7909.49</c:v>
                </c:pt>
                <c:pt idx="29">
                  <c:v>5511.46</c:v>
                </c:pt>
                <c:pt idx="30">
                  <c:v>2412.53</c:v>
                </c:pt>
                <c:pt idx="31">
                  <c:v>8510.25</c:v>
                </c:pt>
                <c:pt idx="32">
                  <c:v>4660.04</c:v>
                </c:pt>
                <c:pt idx="33">
                  <c:v>6502.36</c:v>
                </c:pt>
                <c:pt idx="34">
                  <c:v>10724.4</c:v>
                </c:pt>
                <c:pt idx="35">
                  <c:v>23344.8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865856"/>
        <c:axId val="67120065"/>
      </c:lineChart>
      <c:catAx>
        <c:axId val="40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20065"/>
        <c:crosses val="autoZero"/>
        <c:auto val="1"/>
        <c:lblAlgn val="ctr"/>
        <c:lblOffset val="100"/>
        <c:noMultiLvlLbl val="0"/>
      </c:catAx>
      <c:valAx>
        <c:axId val="67120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65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130680</xdr:rowOff>
    </xdr:from>
    <xdr:to>
      <xdr:col>6</xdr:col>
      <xdr:colOff>433080</xdr:colOff>
      <xdr:row>32</xdr:row>
      <xdr:rowOff>90000</xdr:rowOff>
    </xdr:to>
    <xdr:graphicFrame>
      <xdr:nvGraphicFramePr>
        <xdr:cNvPr id="0" name="Chart 1"/>
        <xdr:cNvGraphicFramePr/>
      </xdr:nvGraphicFramePr>
      <xdr:xfrm>
        <a:off x="0" y="228600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16</xdr:col>
      <xdr:colOff>473040</xdr:colOff>
      <xdr:row>20</xdr:row>
      <xdr:rowOff>110880</xdr:rowOff>
    </xdr:to>
    <xdr:graphicFrame>
      <xdr:nvGraphicFramePr>
        <xdr:cNvPr id="1" name="Chart 1"/>
        <xdr:cNvGraphicFramePr/>
      </xdr:nvGraphicFramePr>
      <xdr:xfrm>
        <a:off x="455868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customFormat="false" ht="24.45" hidden="false" customHeight="false" outlineLevel="0" collapsed="false">
      <c r="A4" s="3" t="n">
        <f aca="false">SUM('Transaction Sample'!I2:I501)</f>
        <v>269045.39</v>
      </c>
      <c r="B4" s="3"/>
      <c r="C4" s="3" t="n">
        <f aca="false">SUM('Transaction Sample'!K2:K501)</f>
        <v>114604.76</v>
      </c>
      <c r="D4" s="3"/>
      <c r="E4" s="4" t="n">
        <f aca="false">SUM('Transaction Sample'!K2:K501)/SUM('Transaction Sample'!I2:I501)</f>
        <v>0.425968123817323</v>
      </c>
      <c r="F4" s="4"/>
      <c r="G4" s="5" t="n">
        <f aca="false">COUNTA('Transaction Sample'!A2:A501)</f>
        <v>500</v>
      </c>
      <c r="H4" s="5"/>
    </row>
    <row r="6" customFormat="false" ht="15" hidden="false" customHeight="false" outlineLevel="0" collapsed="false">
      <c r="A6" s="6" t="s">
        <v>5</v>
      </c>
      <c r="B6" s="6"/>
      <c r="C6" s="6"/>
      <c r="D6" s="6"/>
      <c r="E6" s="6"/>
      <c r="F6" s="6"/>
      <c r="G6" s="6"/>
      <c r="H6" s="6"/>
    </row>
  </sheetData>
  <mergeCells count="10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11" min="7" style="0" width="12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</row>
    <row r="2" customFormat="false" ht="15" hidden="false" customHeight="false" outlineLevel="0" collapsed="false">
      <c r="A2" s="0" t="n">
        <v>520897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n">
        <v>1</v>
      </c>
      <c r="H2" s="0" t="n">
        <v>1236.32</v>
      </c>
      <c r="I2" s="0" t="n">
        <v>1236.32</v>
      </c>
      <c r="J2" s="0" t="n">
        <v>698.1</v>
      </c>
      <c r="K2" s="0" t="n">
        <v>538.22</v>
      </c>
      <c r="L2" s="0" t="s">
        <v>23</v>
      </c>
    </row>
    <row r="3" customFormat="false" ht="15" hidden="false" customHeight="false" outlineLevel="0" collapsed="false">
      <c r="A3" s="0" t="n">
        <v>532487</v>
      </c>
      <c r="B3" s="0" t="s">
        <v>24</v>
      </c>
      <c r="C3" s="0" t="s">
        <v>19</v>
      </c>
      <c r="D3" s="0" t="s">
        <v>25</v>
      </c>
      <c r="E3" s="0" t="s">
        <v>21</v>
      </c>
      <c r="F3" s="0" t="s">
        <v>26</v>
      </c>
      <c r="G3" s="0" t="n">
        <v>1</v>
      </c>
      <c r="H3" s="0" t="n">
        <v>1240.3</v>
      </c>
      <c r="I3" s="0" t="n">
        <v>1240.3</v>
      </c>
      <c r="J3" s="0" t="n">
        <v>720.81</v>
      </c>
      <c r="K3" s="0" t="n">
        <v>519.49</v>
      </c>
      <c r="L3" s="0" t="s">
        <v>27</v>
      </c>
    </row>
    <row r="4" customFormat="false" ht="15" hidden="false" customHeight="false" outlineLevel="0" collapsed="false">
      <c r="A4" s="0" t="n">
        <v>516910</v>
      </c>
      <c r="B4" s="0" t="s">
        <v>28</v>
      </c>
      <c r="C4" s="0" t="s">
        <v>19</v>
      </c>
      <c r="D4" s="0" t="s">
        <v>25</v>
      </c>
      <c r="E4" s="0" t="s">
        <v>29</v>
      </c>
      <c r="F4" s="0" t="s">
        <v>30</v>
      </c>
      <c r="G4" s="0" t="n">
        <v>1</v>
      </c>
      <c r="H4" s="0" t="n">
        <v>354.35</v>
      </c>
      <c r="I4" s="0" t="n">
        <v>354.35</v>
      </c>
      <c r="J4" s="0" t="n">
        <v>211.76</v>
      </c>
      <c r="K4" s="0" t="n">
        <v>142.59</v>
      </c>
      <c r="L4" s="0" t="s">
        <v>31</v>
      </c>
    </row>
    <row r="5" customFormat="false" ht="15" hidden="false" customHeight="false" outlineLevel="0" collapsed="false">
      <c r="A5" s="0" t="n">
        <v>514114</v>
      </c>
      <c r="B5" s="0" t="s">
        <v>32</v>
      </c>
      <c r="C5" s="0" t="s">
        <v>19</v>
      </c>
      <c r="D5" s="0" t="s">
        <v>33</v>
      </c>
      <c r="E5" s="0" t="s">
        <v>21</v>
      </c>
      <c r="F5" s="0" t="s">
        <v>34</v>
      </c>
      <c r="G5" s="0" t="n">
        <v>1</v>
      </c>
      <c r="H5" s="0" t="n">
        <v>599.18</v>
      </c>
      <c r="I5" s="0" t="n">
        <v>599.18</v>
      </c>
      <c r="J5" s="0" t="n">
        <v>330.58</v>
      </c>
      <c r="K5" s="0" t="n">
        <v>268.6</v>
      </c>
      <c r="L5" s="0" t="s">
        <v>35</v>
      </c>
    </row>
    <row r="6" customFormat="false" ht="15" hidden="false" customHeight="false" outlineLevel="0" collapsed="false">
      <c r="A6" s="0" t="n">
        <v>508918</v>
      </c>
      <c r="B6" s="0" t="s">
        <v>36</v>
      </c>
      <c r="C6" s="0" t="s">
        <v>19</v>
      </c>
      <c r="D6" s="0" t="s">
        <v>37</v>
      </c>
      <c r="E6" s="0" t="s">
        <v>29</v>
      </c>
      <c r="F6" s="0" t="s">
        <v>38</v>
      </c>
      <c r="G6" s="0" t="n">
        <v>1</v>
      </c>
      <c r="H6" s="0" t="n">
        <v>133.58</v>
      </c>
      <c r="I6" s="0" t="n">
        <v>133.58</v>
      </c>
      <c r="J6" s="0" t="n">
        <v>78.11</v>
      </c>
      <c r="K6" s="0" t="n">
        <v>55.47</v>
      </c>
      <c r="L6" s="0" t="s">
        <v>39</v>
      </c>
    </row>
    <row r="7" customFormat="false" ht="15" hidden="false" customHeight="false" outlineLevel="0" collapsed="false">
      <c r="A7" s="0" t="n">
        <v>525988</v>
      </c>
      <c r="B7" s="0" t="s">
        <v>40</v>
      </c>
      <c r="C7" s="0" t="s">
        <v>19</v>
      </c>
      <c r="D7" s="0" t="s">
        <v>20</v>
      </c>
      <c r="E7" s="0" t="s">
        <v>21</v>
      </c>
      <c r="F7" s="0" t="s">
        <v>41</v>
      </c>
      <c r="G7" s="0" t="n">
        <v>1</v>
      </c>
      <c r="H7" s="0" t="n">
        <v>155.78</v>
      </c>
      <c r="I7" s="0" t="n">
        <v>155.78</v>
      </c>
      <c r="J7" s="0" t="n">
        <v>88.45</v>
      </c>
      <c r="K7" s="0" t="n">
        <v>67.33</v>
      </c>
      <c r="L7" s="0" t="s">
        <v>42</v>
      </c>
    </row>
    <row r="8" customFormat="false" ht="15" hidden="false" customHeight="false" outlineLevel="0" collapsed="false">
      <c r="A8" s="0" t="n">
        <v>531704</v>
      </c>
      <c r="B8" s="0" t="s">
        <v>43</v>
      </c>
      <c r="C8" s="0" t="s">
        <v>19</v>
      </c>
      <c r="D8" s="0" t="s">
        <v>33</v>
      </c>
      <c r="E8" s="0" t="s">
        <v>29</v>
      </c>
      <c r="F8" s="0" t="s">
        <v>44</v>
      </c>
      <c r="G8" s="0" t="n">
        <v>1</v>
      </c>
      <c r="H8" s="0" t="n">
        <v>511.44</v>
      </c>
      <c r="I8" s="0" t="n">
        <v>511.44</v>
      </c>
      <c r="J8" s="0" t="n">
        <v>296.49</v>
      </c>
      <c r="K8" s="0" t="n">
        <v>214.95</v>
      </c>
      <c r="L8" s="0" t="s">
        <v>45</v>
      </c>
    </row>
    <row r="9" customFormat="false" ht="15" hidden="false" customHeight="false" outlineLevel="0" collapsed="false">
      <c r="A9" s="0" t="n">
        <v>532920</v>
      </c>
      <c r="B9" s="0" t="s">
        <v>46</v>
      </c>
      <c r="C9" s="0" t="s">
        <v>19</v>
      </c>
      <c r="D9" s="0" t="s">
        <v>20</v>
      </c>
      <c r="E9" s="0" t="s">
        <v>47</v>
      </c>
      <c r="F9" s="0" t="s">
        <v>48</v>
      </c>
      <c r="G9" s="0" t="n">
        <v>1</v>
      </c>
      <c r="H9" s="0" t="n">
        <v>68.88</v>
      </c>
      <c r="I9" s="0" t="n">
        <v>68.88</v>
      </c>
      <c r="J9" s="0" t="n">
        <v>39.43</v>
      </c>
      <c r="K9" s="0" t="n">
        <v>29.45</v>
      </c>
      <c r="L9" s="0" t="s">
        <v>27</v>
      </c>
    </row>
    <row r="10" customFormat="false" ht="15" hidden="false" customHeight="false" outlineLevel="0" collapsed="false">
      <c r="A10" s="0" t="n">
        <v>528203</v>
      </c>
      <c r="B10" s="0" t="s">
        <v>49</v>
      </c>
      <c r="C10" s="0" t="s">
        <v>19</v>
      </c>
      <c r="D10" s="0" t="s">
        <v>25</v>
      </c>
      <c r="E10" s="0" t="s">
        <v>50</v>
      </c>
      <c r="F10" s="0" t="s">
        <v>51</v>
      </c>
      <c r="G10" s="0" t="n">
        <v>1</v>
      </c>
      <c r="H10" s="0" t="n">
        <v>331.94</v>
      </c>
      <c r="I10" s="0" t="n">
        <v>331.94</v>
      </c>
      <c r="J10" s="0" t="n">
        <v>189.98</v>
      </c>
      <c r="K10" s="0" t="n">
        <v>141.96</v>
      </c>
      <c r="L10" s="0" t="s">
        <v>52</v>
      </c>
    </row>
    <row r="11" customFormat="false" ht="15" hidden="false" customHeight="false" outlineLevel="0" collapsed="false">
      <c r="A11" s="0" t="n">
        <v>531178</v>
      </c>
      <c r="B11" s="0" t="s">
        <v>53</v>
      </c>
      <c r="C11" s="0" t="s">
        <v>19</v>
      </c>
      <c r="D11" s="0" t="s">
        <v>54</v>
      </c>
      <c r="E11" s="0" t="s">
        <v>55</v>
      </c>
      <c r="F11" s="0" t="s">
        <v>56</v>
      </c>
      <c r="G11" s="0" t="n">
        <v>1</v>
      </c>
      <c r="H11" s="0" t="n">
        <v>101.22</v>
      </c>
      <c r="I11" s="0" t="n">
        <v>101.22</v>
      </c>
      <c r="J11" s="0" t="n">
        <v>59.39</v>
      </c>
      <c r="K11" s="0" t="n">
        <v>41.83</v>
      </c>
      <c r="L11" s="0" t="s">
        <v>57</v>
      </c>
    </row>
    <row r="12" customFormat="false" ht="15" hidden="false" customHeight="false" outlineLevel="0" collapsed="false">
      <c r="A12" s="0" t="n">
        <v>501771</v>
      </c>
      <c r="B12" s="0" t="s">
        <v>58</v>
      </c>
      <c r="C12" s="0" t="s">
        <v>19</v>
      </c>
      <c r="D12" s="0" t="s">
        <v>25</v>
      </c>
      <c r="E12" s="0" t="s">
        <v>59</v>
      </c>
      <c r="F12" s="0" t="s">
        <v>60</v>
      </c>
      <c r="G12" s="0" t="n">
        <v>2</v>
      </c>
      <c r="H12" s="0" t="n">
        <v>210.1</v>
      </c>
      <c r="I12" s="0" t="n">
        <v>420.2</v>
      </c>
      <c r="J12" s="0" t="n">
        <v>247.66</v>
      </c>
      <c r="K12" s="0" t="n">
        <v>172.54</v>
      </c>
      <c r="L12" s="0" t="s">
        <v>61</v>
      </c>
    </row>
    <row r="13" customFormat="false" ht="15" hidden="false" customHeight="false" outlineLevel="0" collapsed="false">
      <c r="A13" s="0" t="n">
        <v>536486</v>
      </c>
      <c r="B13" s="0" t="s">
        <v>62</v>
      </c>
      <c r="C13" s="0" t="s">
        <v>19</v>
      </c>
      <c r="D13" s="0" t="s">
        <v>20</v>
      </c>
      <c r="E13" s="0" t="s">
        <v>55</v>
      </c>
      <c r="F13" s="0" t="s">
        <v>63</v>
      </c>
      <c r="G13" s="0" t="n">
        <v>1</v>
      </c>
      <c r="H13" s="0" t="n">
        <v>185.24</v>
      </c>
      <c r="I13" s="0" t="n">
        <v>185.24</v>
      </c>
      <c r="J13" s="0" t="n">
        <v>104.87</v>
      </c>
      <c r="K13" s="0" t="n">
        <v>80.37</v>
      </c>
      <c r="L13" s="0" t="s">
        <v>64</v>
      </c>
    </row>
    <row r="14" customFormat="false" ht="15" hidden="false" customHeight="false" outlineLevel="0" collapsed="false">
      <c r="A14" s="0" t="n">
        <v>503934</v>
      </c>
      <c r="B14" s="0" t="s">
        <v>65</v>
      </c>
      <c r="C14" s="0" t="s">
        <v>19</v>
      </c>
      <c r="D14" s="0" t="s">
        <v>25</v>
      </c>
      <c r="E14" s="0" t="s">
        <v>55</v>
      </c>
      <c r="F14" s="0" t="s">
        <v>66</v>
      </c>
      <c r="G14" s="0" t="n">
        <v>3</v>
      </c>
      <c r="H14" s="0" t="n">
        <v>148.87</v>
      </c>
      <c r="I14" s="0" t="n">
        <v>446.61</v>
      </c>
      <c r="J14" s="0" t="n">
        <v>249.06</v>
      </c>
      <c r="K14" s="0" t="n">
        <v>197.55</v>
      </c>
      <c r="L14" s="0" t="s">
        <v>67</v>
      </c>
    </row>
    <row r="15" customFormat="false" ht="15" hidden="false" customHeight="false" outlineLevel="0" collapsed="false">
      <c r="A15" s="0" t="n">
        <v>533736</v>
      </c>
      <c r="B15" s="0" t="s">
        <v>68</v>
      </c>
      <c r="C15" s="0" t="s">
        <v>19</v>
      </c>
      <c r="D15" s="0" t="s">
        <v>37</v>
      </c>
      <c r="E15" s="0" t="s">
        <v>21</v>
      </c>
      <c r="F15" s="0" t="s">
        <v>69</v>
      </c>
      <c r="G15" s="0" t="n">
        <v>1</v>
      </c>
      <c r="H15" s="0" t="n">
        <v>148.59</v>
      </c>
      <c r="I15" s="0" t="n">
        <v>148.59</v>
      </c>
      <c r="J15" s="0" t="n">
        <v>86.99</v>
      </c>
      <c r="K15" s="0" t="n">
        <v>61.6</v>
      </c>
      <c r="L15" s="0" t="s">
        <v>70</v>
      </c>
    </row>
    <row r="16" customFormat="false" ht="15" hidden="false" customHeight="false" outlineLevel="0" collapsed="false">
      <c r="A16" s="0" t="n">
        <v>511461</v>
      </c>
      <c r="B16" s="0" t="s">
        <v>71</v>
      </c>
      <c r="C16" s="0" t="s">
        <v>19</v>
      </c>
      <c r="D16" s="0" t="s">
        <v>25</v>
      </c>
      <c r="E16" s="0" t="s">
        <v>21</v>
      </c>
      <c r="F16" s="0" t="s">
        <v>72</v>
      </c>
      <c r="G16" s="0" t="n">
        <v>3</v>
      </c>
      <c r="H16" s="0" t="n">
        <v>1188.14</v>
      </c>
      <c r="I16" s="0" t="n">
        <v>3564.42</v>
      </c>
      <c r="J16" s="0" t="n">
        <v>2008.95</v>
      </c>
      <c r="K16" s="0" t="n">
        <v>1555.47</v>
      </c>
      <c r="L16" s="0" t="s">
        <v>73</v>
      </c>
    </row>
    <row r="17" customFormat="false" ht="15" hidden="false" customHeight="false" outlineLevel="0" collapsed="false">
      <c r="A17" s="0" t="n">
        <v>523133</v>
      </c>
      <c r="B17" s="0" t="s">
        <v>74</v>
      </c>
      <c r="C17" s="0" t="s">
        <v>19</v>
      </c>
      <c r="D17" s="0" t="s">
        <v>54</v>
      </c>
      <c r="E17" s="0" t="s">
        <v>50</v>
      </c>
      <c r="F17" s="0" t="s">
        <v>75</v>
      </c>
      <c r="G17" s="0" t="n">
        <v>1</v>
      </c>
      <c r="H17" s="0" t="n">
        <v>281.34</v>
      </c>
      <c r="I17" s="0" t="n">
        <v>281.34</v>
      </c>
      <c r="J17" s="0" t="n">
        <v>157.05</v>
      </c>
      <c r="K17" s="0" t="n">
        <v>124.29</v>
      </c>
      <c r="L17" s="0" t="s">
        <v>76</v>
      </c>
    </row>
    <row r="18" customFormat="false" ht="15" hidden="false" customHeight="false" outlineLevel="0" collapsed="false">
      <c r="A18" s="0" t="n">
        <v>517128</v>
      </c>
      <c r="B18" s="0" t="s">
        <v>77</v>
      </c>
      <c r="C18" s="0" t="s">
        <v>19</v>
      </c>
      <c r="D18" s="0" t="s">
        <v>33</v>
      </c>
      <c r="E18" s="0" t="s">
        <v>59</v>
      </c>
      <c r="F18" s="0" t="s">
        <v>78</v>
      </c>
      <c r="G18" s="0" t="n">
        <v>3</v>
      </c>
      <c r="H18" s="0" t="n">
        <v>237.18</v>
      </c>
      <c r="I18" s="0" t="n">
        <v>711.54</v>
      </c>
      <c r="J18" s="0" t="n">
        <v>421.11</v>
      </c>
      <c r="K18" s="0" t="n">
        <v>290.43</v>
      </c>
      <c r="L18" s="0" t="s">
        <v>79</v>
      </c>
    </row>
    <row r="19" customFormat="false" ht="15" hidden="false" customHeight="false" outlineLevel="0" collapsed="false">
      <c r="A19" s="0" t="n">
        <v>500337</v>
      </c>
      <c r="B19" s="0" t="s">
        <v>80</v>
      </c>
      <c r="C19" s="0" t="s">
        <v>19</v>
      </c>
      <c r="D19" s="0" t="s">
        <v>54</v>
      </c>
      <c r="E19" s="0" t="s">
        <v>21</v>
      </c>
      <c r="F19" s="0" t="s">
        <v>81</v>
      </c>
      <c r="G19" s="0" t="n">
        <v>1</v>
      </c>
      <c r="H19" s="0" t="n">
        <v>255.03</v>
      </c>
      <c r="I19" s="0" t="n">
        <v>255.03</v>
      </c>
      <c r="J19" s="0" t="n">
        <v>149.26</v>
      </c>
      <c r="K19" s="0" t="n">
        <v>105.77</v>
      </c>
      <c r="L19" s="0" t="s">
        <v>82</v>
      </c>
    </row>
    <row r="20" customFormat="false" ht="15" hidden="false" customHeight="false" outlineLevel="0" collapsed="false">
      <c r="A20" s="0" t="n">
        <v>535579</v>
      </c>
      <c r="B20" s="0" t="s">
        <v>83</v>
      </c>
      <c r="C20" s="0" t="s">
        <v>19</v>
      </c>
      <c r="D20" s="0" t="s">
        <v>54</v>
      </c>
      <c r="E20" s="0" t="s">
        <v>21</v>
      </c>
      <c r="F20" s="0" t="s">
        <v>41</v>
      </c>
      <c r="G20" s="0" t="n">
        <v>4</v>
      </c>
      <c r="H20" s="0" t="n">
        <v>1144.42</v>
      </c>
      <c r="I20" s="0" t="n">
        <v>4577.68</v>
      </c>
      <c r="J20" s="0" t="n">
        <v>2641.76</v>
      </c>
      <c r="K20" s="0" t="n">
        <v>1935.92</v>
      </c>
      <c r="L20" s="0" t="s">
        <v>64</v>
      </c>
    </row>
    <row r="21" customFormat="false" ht="15" hidden="false" customHeight="false" outlineLevel="0" collapsed="false">
      <c r="A21" s="0" t="n">
        <v>501856</v>
      </c>
      <c r="B21" s="0" t="s">
        <v>84</v>
      </c>
      <c r="C21" s="0" t="s">
        <v>19</v>
      </c>
      <c r="D21" s="0" t="s">
        <v>25</v>
      </c>
      <c r="E21" s="0" t="s">
        <v>29</v>
      </c>
      <c r="F21" s="0" t="s">
        <v>85</v>
      </c>
      <c r="G21" s="0" t="n">
        <v>2</v>
      </c>
      <c r="H21" s="0" t="n">
        <v>628.69</v>
      </c>
      <c r="I21" s="0" t="n">
        <v>1257.38</v>
      </c>
      <c r="J21" s="0" t="n">
        <v>693.2</v>
      </c>
      <c r="K21" s="0" t="n">
        <v>564.18</v>
      </c>
      <c r="L21" s="0" t="s">
        <v>61</v>
      </c>
    </row>
    <row r="22" customFormat="false" ht="15" hidden="false" customHeight="false" outlineLevel="0" collapsed="false">
      <c r="A22" s="0" t="n">
        <v>527335</v>
      </c>
      <c r="B22" s="0" t="s">
        <v>86</v>
      </c>
      <c r="C22" s="0" t="s">
        <v>19</v>
      </c>
      <c r="D22" s="0" t="s">
        <v>33</v>
      </c>
      <c r="E22" s="0" t="s">
        <v>55</v>
      </c>
      <c r="F22" s="0" t="s">
        <v>87</v>
      </c>
      <c r="G22" s="0" t="n">
        <v>2</v>
      </c>
      <c r="H22" s="0" t="n">
        <v>59.07</v>
      </c>
      <c r="I22" s="0" t="n">
        <v>118.14</v>
      </c>
      <c r="J22" s="0" t="n">
        <v>70.26</v>
      </c>
      <c r="K22" s="0" t="n">
        <v>47.88</v>
      </c>
      <c r="L22" s="0" t="s">
        <v>88</v>
      </c>
    </row>
    <row r="23" customFormat="false" ht="15" hidden="false" customHeight="false" outlineLevel="0" collapsed="false">
      <c r="A23" s="0" t="n">
        <v>534414</v>
      </c>
      <c r="B23" s="0" t="s">
        <v>89</v>
      </c>
      <c r="C23" s="0" t="s">
        <v>19</v>
      </c>
      <c r="D23" s="0" t="s">
        <v>25</v>
      </c>
      <c r="E23" s="0" t="s">
        <v>29</v>
      </c>
      <c r="F23" s="0" t="s">
        <v>90</v>
      </c>
      <c r="G23" s="0" t="n">
        <v>1</v>
      </c>
      <c r="H23" s="0" t="n">
        <v>812.02</v>
      </c>
      <c r="I23" s="0" t="n">
        <v>812.02</v>
      </c>
      <c r="J23" s="0" t="n">
        <v>449.21</v>
      </c>
      <c r="K23" s="0" t="n">
        <v>362.81</v>
      </c>
      <c r="L23" s="0" t="s">
        <v>70</v>
      </c>
    </row>
    <row r="24" customFormat="false" ht="15" hidden="false" customHeight="false" outlineLevel="0" collapsed="false">
      <c r="A24" s="0" t="n">
        <v>522959</v>
      </c>
      <c r="B24" s="0" t="s">
        <v>91</v>
      </c>
      <c r="C24" s="0" t="s">
        <v>19</v>
      </c>
      <c r="D24" s="0" t="s">
        <v>54</v>
      </c>
      <c r="E24" s="0" t="s">
        <v>47</v>
      </c>
      <c r="F24" s="0" t="s">
        <v>92</v>
      </c>
      <c r="G24" s="0" t="n">
        <v>1</v>
      </c>
      <c r="H24" s="0" t="n">
        <v>531.33</v>
      </c>
      <c r="I24" s="0" t="n">
        <v>531.33</v>
      </c>
      <c r="J24" s="0" t="n">
        <v>304.83</v>
      </c>
      <c r="K24" s="0" t="n">
        <v>226.5</v>
      </c>
      <c r="L24" s="0" t="s">
        <v>76</v>
      </c>
    </row>
    <row r="25" customFormat="false" ht="15" hidden="false" customHeight="false" outlineLevel="0" collapsed="false">
      <c r="A25" s="0" t="n">
        <v>525852</v>
      </c>
      <c r="B25" s="0" t="s">
        <v>93</v>
      </c>
      <c r="C25" s="0" t="s">
        <v>19</v>
      </c>
      <c r="D25" s="0" t="s">
        <v>20</v>
      </c>
      <c r="E25" s="0" t="s">
        <v>59</v>
      </c>
      <c r="F25" s="0" t="s">
        <v>94</v>
      </c>
      <c r="G25" s="0" t="n">
        <v>1</v>
      </c>
      <c r="H25" s="0" t="n">
        <v>154.55</v>
      </c>
      <c r="I25" s="0" t="n">
        <v>154.55</v>
      </c>
      <c r="J25" s="0" t="n">
        <v>89.6</v>
      </c>
      <c r="K25" s="0" t="n">
        <v>64.95</v>
      </c>
      <c r="L25" s="0" t="s">
        <v>42</v>
      </c>
    </row>
    <row r="26" customFormat="false" ht="15" hidden="false" customHeight="false" outlineLevel="0" collapsed="false">
      <c r="A26" s="0" t="n">
        <v>515236</v>
      </c>
      <c r="B26" s="0" t="s">
        <v>95</v>
      </c>
      <c r="C26" s="0" t="s">
        <v>19</v>
      </c>
      <c r="D26" s="0" t="s">
        <v>25</v>
      </c>
      <c r="E26" s="0" t="s">
        <v>21</v>
      </c>
      <c r="F26" s="0" t="s">
        <v>96</v>
      </c>
      <c r="G26" s="0" t="n">
        <v>1</v>
      </c>
      <c r="H26" s="0" t="n">
        <v>968.15</v>
      </c>
      <c r="I26" s="0" t="n">
        <v>968.15</v>
      </c>
      <c r="J26" s="0" t="n">
        <v>561.88</v>
      </c>
      <c r="K26" s="0" t="n">
        <v>406.27</v>
      </c>
      <c r="L26" s="0" t="s">
        <v>97</v>
      </c>
    </row>
    <row r="27" customFormat="false" ht="15" hidden="false" customHeight="false" outlineLevel="0" collapsed="false">
      <c r="A27" s="0" t="n">
        <v>501511</v>
      </c>
      <c r="B27" s="0" t="s">
        <v>98</v>
      </c>
      <c r="C27" s="0" t="s">
        <v>19</v>
      </c>
      <c r="D27" s="0" t="s">
        <v>25</v>
      </c>
      <c r="E27" s="0" t="s">
        <v>29</v>
      </c>
      <c r="F27" s="0" t="s">
        <v>99</v>
      </c>
      <c r="G27" s="0" t="n">
        <v>1</v>
      </c>
      <c r="H27" s="0" t="n">
        <v>476.34</v>
      </c>
      <c r="I27" s="0" t="n">
        <v>476.34</v>
      </c>
      <c r="J27" s="0" t="n">
        <v>269.75</v>
      </c>
      <c r="K27" s="0" t="n">
        <v>206.59</v>
      </c>
      <c r="L27" s="0" t="s">
        <v>61</v>
      </c>
    </row>
    <row r="28" customFormat="false" ht="15" hidden="false" customHeight="false" outlineLevel="0" collapsed="false">
      <c r="A28" s="0" t="n">
        <v>502823</v>
      </c>
      <c r="B28" s="0" t="s">
        <v>100</v>
      </c>
      <c r="C28" s="0" t="s">
        <v>19</v>
      </c>
      <c r="D28" s="0" t="s">
        <v>25</v>
      </c>
      <c r="E28" s="0" t="s">
        <v>21</v>
      </c>
      <c r="F28" s="0" t="s">
        <v>101</v>
      </c>
      <c r="G28" s="0" t="n">
        <v>1</v>
      </c>
      <c r="H28" s="0" t="n">
        <v>684.61</v>
      </c>
      <c r="I28" s="0" t="n">
        <v>684.61</v>
      </c>
      <c r="J28" s="0" t="n">
        <v>403.6</v>
      </c>
      <c r="K28" s="0" t="n">
        <v>281.01</v>
      </c>
      <c r="L28" s="0" t="s">
        <v>102</v>
      </c>
    </row>
    <row r="29" customFormat="false" ht="15" hidden="false" customHeight="false" outlineLevel="0" collapsed="false">
      <c r="A29" s="0" t="n">
        <v>527303</v>
      </c>
      <c r="B29" s="0" t="s">
        <v>103</v>
      </c>
      <c r="C29" s="0" t="s">
        <v>19</v>
      </c>
      <c r="D29" s="0" t="s">
        <v>25</v>
      </c>
      <c r="E29" s="0" t="s">
        <v>47</v>
      </c>
      <c r="F29" s="0" t="s">
        <v>104</v>
      </c>
      <c r="G29" s="0" t="n">
        <v>1</v>
      </c>
      <c r="H29" s="0" t="n">
        <v>438.96</v>
      </c>
      <c r="I29" s="0" t="n">
        <v>438.96</v>
      </c>
      <c r="J29" s="0" t="n">
        <v>255.55</v>
      </c>
      <c r="K29" s="0" t="n">
        <v>183.41</v>
      </c>
      <c r="L29" s="0" t="s">
        <v>88</v>
      </c>
    </row>
    <row r="30" customFormat="false" ht="15" hidden="false" customHeight="false" outlineLevel="0" collapsed="false">
      <c r="A30" s="0" t="n">
        <v>523858</v>
      </c>
      <c r="B30" s="0" t="s">
        <v>105</v>
      </c>
      <c r="C30" s="0" t="s">
        <v>19</v>
      </c>
      <c r="D30" s="0" t="s">
        <v>54</v>
      </c>
      <c r="E30" s="0" t="s">
        <v>59</v>
      </c>
      <c r="F30" s="0" t="s">
        <v>106</v>
      </c>
      <c r="G30" s="0" t="n">
        <v>1</v>
      </c>
      <c r="H30" s="0" t="n">
        <v>138.56</v>
      </c>
      <c r="I30" s="0" t="n">
        <v>138.56</v>
      </c>
      <c r="J30" s="0" t="n">
        <v>82.63</v>
      </c>
      <c r="K30" s="0" t="n">
        <v>55.93</v>
      </c>
      <c r="L30" s="0" t="s">
        <v>107</v>
      </c>
    </row>
    <row r="31" customFormat="false" ht="15" hidden="false" customHeight="false" outlineLevel="0" collapsed="false">
      <c r="A31" s="0" t="n">
        <v>507437</v>
      </c>
      <c r="B31" s="0" t="s">
        <v>108</v>
      </c>
      <c r="C31" s="0" t="s">
        <v>19</v>
      </c>
      <c r="D31" s="0" t="s">
        <v>33</v>
      </c>
      <c r="E31" s="0" t="s">
        <v>50</v>
      </c>
      <c r="F31" s="0" t="s">
        <v>109</v>
      </c>
      <c r="G31" s="0" t="n">
        <v>1</v>
      </c>
      <c r="H31" s="0" t="n">
        <v>174.07</v>
      </c>
      <c r="I31" s="0" t="n">
        <v>174.07</v>
      </c>
      <c r="J31" s="0" t="n">
        <v>99.31</v>
      </c>
      <c r="K31" s="0" t="n">
        <v>74.76</v>
      </c>
      <c r="L31" s="0" t="s">
        <v>39</v>
      </c>
    </row>
    <row r="32" customFormat="false" ht="15" hidden="false" customHeight="false" outlineLevel="0" collapsed="false">
      <c r="A32" s="0" t="n">
        <v>531221</v>
      </c>
      <c r="B32" s="0" t="s">
        <v>110</v>
      </c>
      <c r="C32" s="0" t="s">
        <v>19</v>
      </c>
      <c r="D32" s="0" t="s">
        <v>37</v>
      </c>
      <c r="E32" s="0" t="s">
        <v>55</v>
      </c>
      <c r="F32" s="0" t="s">
        <v>111</v>
      </c>
      <c r="G32" s="0" t="n">
        <v>2</v>
      </c>
      <c r="H32" s="0" t="n">
        <v>159.98</v>
      </c>
      <c r="I32" s="0" t="n">
        <v>319.96</v>
      </c>
      <c r="J32" s="0" t="n">
        <v>188.48</v>
      </c>
      <c r="K32" s="0" t="n">
        <v>131.48</v>
      </c>
      <c r="L32" s="0" t="s">
        <v>57</v>
      </c>
    </row>
    <row r="33" customFormat="false" ht="15" hidden="false" customHeight="false" outlineLevel="0" collapsed="false">
      <c r="A33" s="0" t="n">
        <v>528111</v>
      </c>
      <c r="B33" s="0" t="s">
        <v>112</v>
      </c>
      <c r="C33" s="0" t="s">
        <v>19</v>
      </c>
      <c r="D33" s="0" t="s">
        <v>25</v>
      </c>
      <c r="E33" s="0" t="s">
        <v>55</v>
      </c>
      <c r="F33" s="0" t="s">
        <v>113</v>
      </c>
      <c r="G33" s="0" t="n">
        <v>1</v>
      </c>
      <c r="H33" s="0" t="n">
        <v>81.86</v>
      </c>
      <c r="I33" s="0" t="n">
        <v>81.86</v>
      </c>
      <c r="J33" s="0" t="n">
        <v>45.31</v>
      </c>
      <c r="K33" s="0" t="n">
        <v>36.55</v>
      </c>
      <c r="L33" s="0" t="s">
        <v>52</v>
      </c>
    </row>
    <row r="34" customFormat="false" ht="15" hidden="false" customHeight="false" outlineLevel="0" collapsed="false">
      <c r="A34" s="0" t="n">
        <v>523762</v>
      </c>
      <c r="B34" s="0" t="s">
        <v>114</v>
      </c>
      <c r="C34" s="0" t="s">
        <v>19</v>
      </c>
      <c r="D34" s="0" t="s">
        <v>54</v>
      </c>
      <c r="E34" s="0" t="s">
        <v>50</v>
      </c>
      <c r="F34" s="0" t="s">
        <v>115</v>
      </c>
      <c r="G34" s="0" t="n">
        <v>1</v>
      </c>
      <c r="H34" s="0" t="n">
        <v>284.92</v>
      </c>
      <c r="I34" s="0" t="n">
        <v>284.92</v>
      </c>
      <c r="J34" s="0" t="n">
        <v>161.13</v>
      </c>
      <c r="K34" s="0" t="n">
        <v>123.79</v>
      </c>
      <c r="L34" s="0" t="s">
        <v>76</v>
      </c>
    </row>
    <row r="35" customFormat="false" ht="15" hidden="false" customHeight="false" outlineLevel="0" collapsed="false">
      <c r="A35" s="0" t="n">
        <v>533333</v>
      </c>
      <c r="B35" s="0" t="s">
        <v>116</v>
      </c>
      <c r="C35" s="0" t="s">
        <v>19</v>
      </c>
      <c r="D35" s="0" t="s">
        <v>33</v>
      </c>
      <c r="E35" s="0" t="s">
        <v>55</v>
      </c>
      <c r="F35" s="0" t="s">
        <v>117</v>
      </c>
      <c r="G35" s="0" t="n">
        <v>1</v>
      </c>
      <c r="H35" s="0" t="n">
        <v>149.24</v>
      </c>
      <c r="I35" s="0" t="n">
        <v>149.24</v>
      </c>
      <c r="J35" s="0" t="n">
        <v>83.48</v>
      </c>
      <c r="K35" s="0" t="n">
        <v>65.76</v>
      </c>
      <c r="L35" s="0" t="s">
        <v>70</v>
      </c>
    </row>
    <row r="36" customFormat="false" ht="15" hidden="false" customHeight="false" outlineLevel="0" collapsed="false">
      <c r="A36" s="0" t="n">
        <v>501402</v>
      </c>
      <c r="B36" s="0" t="s">
        <v>118</v>
      </c>
      <c r="C36" s="0" t="s">
        <v>19</v>
      </c>
      <c r="D36" s="0" t="s">
        <v>37</v>
      </c>
      <c r="E36" s="0" t="s">
        <v>55</v>
      </c>
      <c r="F36" s="0" t="s">
        <v>66</v>
      </c>
      <c r="G36" s="0" t="n">
        <v>1</v>
      </c>
      <c r="H36" s="0" t="n">
        <v>139.41</v>
      </c>
      <c r="I36" s="0" t="n">
        <v>139.41</v>
      </c>
      <c r="J36" s="0" t="n">
        <v>83.02</v>
      </c>
      <c r="K36" s="0" t="n">
        <v>56.39</v>
      </c>
      <c r="L36" s="0" t="s">
        <v>61</v>
      </c>
    </row>
    <row r="37" customFormat="false" ht="15" hidden="false" customHeight="false" outlineLevel="0" collapsed="false">
      <c r="A37" s="0" t="n">
        <v>532606</v>
      </c>
      <c r="B37" s="0" t="s">
        <v>119</v>
      </c>
      <c r="C37" s="0" t="s">
        <v>19</v>
      </c>
      <c r="D37" s="0" t="s">
        <v>37</v>
      </c>
      <c r="E37" s="0" t="s">
        <v>50</v>
      </c>
      <c r="F37" s="0" t="s">
        <v>120</v>
      </c>
      <c r="G37" s="0" t="n">
        <v>1</v>
      </c>
      <c r="H37" s="0" t="n">
        <v>87.86</v>
      </c>
      <c r="I37" s="0" t="n">
        <v>87.86</v>
      </c>
      <c r="J37" s="0" t="n">
        <v>48.97</v>
      </c>
      <c r="K37" s="0" t="n">
        <v>38.89</v>
      </c>
      <c r="L37" s="0" t="s">
        <v>27</v>
      </c>
    </row>
    <row r="38" customFormat="false" ht="15" hidden="false" customHeight="false" outlineLevel="0" collapsed="false">
      <c r="A38" s="0" t="n">
        <v>507781</v>
      </c>
      <c r="B38" s="0" t="s">
        <v>121</v>
      </c>
      <c r="C38" s="0" t="s">
        <v>19</v>
      </c>
      <c r="D38" s="0" t="s">
        <v>33</v>
      </c>
      <c r="E38" s="0" t="s">
        <v>50</v>
      </c>
      <c r="F38" s="0" t="s">
        <v>122</v>
      </c>
      <c r="G38" s="0" t="n">
        <v>2</v>
      </c>
      <c r="H38" s="0" t="n">
        <v>251.76</v>
      </c>
      <c r="I38" s="0" t="n">
        <v>503.52</v>
      </c>
      <c r="J38" s="0" t="n">
        <v>290.66</v>
      </c>
      <c r="K38" s="0" t="n">
        <v>212.86</v>
      </c>
      <c r="L38" s="0" t="s">
        <v>39</v>
      </c>
    </row>
    <row r="39" customFormat="false" ht="15" hidden="false" customHeight="false" outlineLevel="0" collapsed="false">
      <c r="A39" s="0" t="n">
        <v>508433</v>
      </c>
      <c r="B39" s="0" t="s">
        <v>123</v>
      </c>
      <c r="C39" s="0" t="s">
        <v>19</v>
      </c>
      <c r="D39" s="0" t="s">
        <v>37</v>
      </c>
      <c r="E39" s="0" t="s">
        <v>59</v>
      </c>
      <c r="F39" s="0" t="s">
        <v>124</v>
      </c>
      <c r="G39" s="0" t="n">
        <v>2</v>
      </c>
      <c r="H39" s="0" t="n">
        <v>232.63</v>
      </c>
      <c r="I39" s="0" t="n">
        <v>465.26</v>
      </c>
      <c r="J39" s="0" t="n">
        <v>261.32</v>
      </c>
      <c r="K39" s="0" t="n">
        <v>203.94</v>
      </c>
      <c r="L39" s="0" t="s">
        <v>39</v>
      </c>
    </row>
    <row r="40" customFormat="false" ht="15" hidden="false" customHeight="false" outlineLevel="0" collapsed="false">
      <c r="A40" s="0" t="n">
        <v>525505</v>
      </c>
      <c r="B40" s="0" t="s">
        <v>125</v>
      </c>
      <c r="C40" s="0" t="s">
        <v>19</v>
      </c>
      <c r="D40" s="0" t="s">
        <v>37</v>
      </c>
      <c r="E40" s="0" t="s">
        <v>55</v>
      </c>
      <c r="F40" s="0" t="s">
        <v>126</v>
      </c>
      <c r="G40" s="0" t="n">
        <v>3</v>
      </c>
      <c r="H40" s="0" t="n">
        <v>143.12</v>
      </c>
      <c r="I40" s="0" t="n">
        <v>429.36</v>
      </c>
      <c r="J40" s="0" t="n">
        <v>245.76</v>
      </c>
      <c r="K40" s="0" t="n">
        <v>183.6</v>
      </c>
      <c r="L40" s="0" t="s">
        <v>127</v>
      </c>
    </row>
    <row r="41" customFormat="false" ht="15" hidden="false" customHeight="false" outlineLevel="0" collapsed="false">
      <c r="A41" s="0" t="n">
        <v>509416</v>
      </c>
      <c r="B41" s="0" t="s">
        <v>128</v>
      </c>
      <c r="C41" s="0" t="s">
        <v>19</v>
      </c>
      <c r="D41" s="0" t="s">
        <v>33</v>
      </c>
      <c r="E41" s="0" t="s">
        <v>59</v>
      </c>
      <c r="F41" s="0" t="s">
        <v>129</v>
      </c>
      <c r="G41" s="0" t="n">
        <v>2</v>
      </c>
      <c r="H41" s="0" t="n">
        <v>123.73</v>
      </c>
      <c r="I41" s="0" t="n">
        <v>247.46</v>
      </c>
      <c r="J41" s="0" t="n">
        <v>143.16</v>
      </c>
      <c r="K41" s="0" t="n">
        <v>104.3</v>
      </c>
      <c r="L41" s="0" t="s">
        <v>130</v>
      </c>
    </row>
    <row r="42" customFormat="false" ht="15" hidden="false" customHeight="false" outlineLevel="0" collapsed="false">
      <c r="A42" s="0" t="n">
        <v>516156</v>
      </c>
      <c r="B42" s="0" t="s">
        <v>131</v>
      </c>
      <c r="C42" s="0" t="s">
        <v>19</v>
      </c>
      <c r="D42" s="0" t="s">
        <v>54</v>
      </c>
      <c r="E42" s="0" t="s">
        <v>21</v>
      </c>
      <c r="F42" s="0" t="s">
        <v>22</v>
      </c>
      <c r="G42" s="0" t="n">
        <v>1</v>
      </c>
      <c r="H42" s="0" t="n">
        <v>1210.62</v>
      </c>
      <c r="I42" s="0" t="n">
        <v>1210.62</v>
      </c>
      <c r="J42" s="0" t="n">
        <v>698.1</v>
      </c>
      <c r="K42" s="0" t="n">
        <v>512.52</v>
      </c>
      <c r="L42" s="0" t="s">
        <v>132</v>
      </c>
    </row>
    <row r="43" customFormat="false" ht="15" hidden="false" customHeight="false" outlineLevel="0" collapsed="false">
      <c r="A43" s="0" t="n">
        <v>503980</v>
      </c>
      <c r="B43" s="0" t="s">
        <v>133</v>
      </c>
      <c r="C43" s="0" t="s">
        <v>19</v>
      </c>
      <c r="D43" s="0" t="s">
        <v>37</v>
      </c>
      <c r="E43" s="0" t="s">
        <v>55</v>
      </c>
      <c r="F43" s="0" t="s">
        <v>134</v>
      </c>
      <c r="G43" s="0" t="n">
        <v>3</v>
      </c>
      <c r="H43" s="0" t="n">
        <v>77.56</v>
      </c>
      <c r="I43" s="0" t="n">
        <v>232.68</v>
      </c>
      <c r="J43" s="0" t="n">
        <v>130.77</v>
      </c>
      <c r="K43" s="0" t="n">
        <v>101.91</v>
      </c>
      <c r="L43" s="0" t="s">
        <v>67</v>
      </c>
    </row>
    <row r="44" customFormat="false" ht="15" hidden="false" customHeight="false" outlineLevel="0" collapsed="false">
      <c r="A44" s="0" t="n">
        <v>531301</v>
      </c>
      <c r="B44" s="0" t="s">
        <v>135</v>
      </c>
      <c r="C44" s="0" t="s">
        <v>19</v>
      </c>
      <c r="D44" s="0" t="s">
        <v>25</v>
      </c>
      <c r="E44" s="0" t="s">
        <v>55</v>
      </c>
      <c r="F44" s="0" t="s">
        <v>136</v>
      </c>
      <c r="G44" s="0" t="n">
        <v>1</v>
      </c>
      <c r="H44" s="0" t="n">
        <v>118.96</v>
      </c>
      <c r="I44" s="0" t="n">
        <v>118.96</v>
      </c>
      <c r="J44" s="0" t="n">
        <v>66.11</v>
      </c>
      <c r="K44" s="0" t="n">
        <v>52.85</v>
      </c>
      <c r="L44" s="0" t="s">
        <v>45</v>
      </c>
    </row>
    <row r="45" customFormat="false" ht="15" hidden="false" customHeight="false" outlineLevel="0" collapsed="false">
      <c r="A45" s="0" t="n">
        <v>515685</v>
      </c>
      <c r="B45" s="0" t="s">
        <v>137</v>
      </c>
      <c r="C45" s="0" t="s">
        <v>19</v>
      </c>
      <c r="D45" s="0" t="s">
        <v>20</v>
      </c>
      <c r="E45" s="0" t="s">
        <v>47</v>
      </c>
      <c r="F45" s="0" t="s">
        <v>138</v>
      </c>
      <c r="G45" s="0" t="n">
        <v>1</v>
      </c>
      <c r="H45" s="0" t="n">
        <v>577.79</v>
      </c>
      <c r="I45" s="0" t="n">
        <v>577.79</v>
      </c>
      <c r="J45" s="0" t="n">
        <v>333.52</v>
      </c>
      <c r="K45" s="0" t="n">
        <v>244.27</v>
      </c>
      <c r="L45" s="0" t="s">
        <v>132</v>
      </c>
    </row>
    <row r="46" customFormat="false" ht="15" hidden="false" customHeight="false" outlineLevel="0" collapsed="false">
      <c r="A46" s="0" t="n">
        <v>516039</v>
      </c>
      <c r="B46" s="0" t="s">
        <v>139</v>
      </c>
      <c r="C46" s="0" t="s">
        <v>19</v>
      </c>
      <c r="D46" s="0" t="s">
        <v>25</v>
      </c>
      <c r="E46" s="0" t="s">
        <v>47</v>
      </c>
      <c r="F46" s="0" t="s">
        <v>140</v>
      </c>
      <c r="G46" s="0" t="n">
        <v>1</v>
      </c>
      <c r="H46" s="0" t="n">
        <v>506.48</v>
      </c>
      <c r="I46" s="0" t="n">
        <v>506.48</v>
      </c>
      <c r="J46" s="0" t="n">
        <v>279.62</v>
      </c>
      <c r="K46" s="0" t="n">
        <v>226.86</v>
      </c>
      <c r="L46" s="0" t="s">
        <v>132</v>
      </c>
    </row>
    <row r="47" customFormat="false" ht="15" hidden="false" customHeight="false" outlineLevel="0" collapsed="false">
      <c r="A47" s="0" t="n">
        <v>511411</v>
      </c>
      <c r="B47" s="0" t="s">
        <v>141</v>
      </c>
      <c r="C47" s="0" t="s">
        <v>19</v>
      </c>
      <c r="D47" s="0" t="s">
        <v>20</v>
      </c>
      <c r="E47" s="0" t="s">
        <v>59</v>
      </c>
      <c r="F47" s="0" t="s">
        <v>142</v>
      </c>
      <c r="G47" s="0" t="n">
        <v>1</v>
      </c>
      <c r="H47" s="0" t="n">
        <v>123.21</v>
      </c>
      <c r="I47" s="0" t="n">
        <v>123.21</v>
      </c>
      <c r="J47" s="0" t="n">
        <v>71.65</v>
      </c>
      <c r="K47" s="0" t="n">
        <v>51.56</v>
      </c>
      <c r="L47" s="0" t="s">
        <v>73</v>
      </c>
    </row>
    <row r="48" customFormat="false" ht="15" hidden="false" customHeight="false" outlineLevel="0" collapsed="false">
      <c r="A48" s="0" t="n">
        <v>516310</v>
      </c>
      <c r="B48" s="0" t="s">
        <v>143</v>
      </c>
      <c r="C48" s="0" t="s">
        <v>19</v>
      </c>
      <c r="D48" s="0" t="s">
        <v>33</v>
      </c>
      <c r="E48" s="0" t="s">
        <v>55</v>
      </c>
      <c r="F48" s="0" t="s">
        <v>66</v>
      </c>
      <c r="G48" s="0" t="n">
        <v>1</v>
      </c>
      <c r="H48" s="0" t="n">
        <v>147.69</v>
      </c>
      <c r="I48" s="0" t="n">
        <v>147.69</v>
      </c>
      <c r="J48" s="0" t="n">
        <v>83.02</v>
      </c>
      <c r="K48" s="0" t="n">
        <v>64.67</v>
      </c>
      <c r="L48" s="0" t="s">
        <v>132</v>
      </c>
    </row>
    <row r="49" customFormat="false" ht="15" hidden="false" customHeight="false" outlineLevel="0" collapsed="false">
      <c r="A49" s="0" t="n">
        <v>524213</v>
      </c>
      <c r="B49" s="0" t="s">
        <v>144</v>
      </c>
      <c r="C49" s="0" t="s">
        <v>19</v>
      </c>
      <c r="D49" s="0" t="s">
        <v>37</v>
      </c>
      <c r="E49" s="0" t="s">
        <v>55</v>
      </c>
      <c r="F49" s="0" t="s">
        <v>56</v>
      </c>
      <c r="G49" s="0" t="n">
        <v>1</v>
      </c>
      <c r="H49" s="0" t="n">
        <v>100.24</v>
      </c>
      <c r="I49" s="0" t="n">
        <v>100.24</v>
      </c>
      <c r="J49" s="0" t="n">
        <v>59.39</v>
      </c>
      <c r="K49" s="0" t="n">
        <v>40.85</v>
      </c>
      <c r="L49" s="0" t="s">
        <v>107</v>
      </c>
    </row>
    <row r="50" customFormat="false" ht="15" hidden="false" customHeight="false" outlineLevel="0" collapsed="false">
      <c r="A50" s="0" t="n">
        <v>530762</v>
      </c>
      <c r="B50" s="0" t="s">
        <v>145</v>
      </c>
      <c r="C50" s="0" t="s">
        <v>19</v>
      </c>
      <c r="D50" s="0" t="s">
        <v>54</v>
      </c>
      <c r="E50" s="0" t="s">
        <v>55</v>
      </c>
      <c r="F50" s="0" t="s">
        <v>126</v>
      </c>
      <c r="G50" s="0" t="n">
        <v>4</v>
      </c>
      <c r="H50" s="0" t="n">
        <v>145.28</v>
      </c>
      <c r="I50" s="0" t="n">
        <v>581.12</v>
      </c>
      <c r="J50" s="0" t="n">
        <v>327.68</v>
      </c>
      <c r="K50" s="0" t="n">
        <v>253.44</v>
      </c>
      <c r="L50" s="0" t="s">
        <v>57</v>
      </c>
    </row>
    <row r="51" customFormat="false" ht="15" hidden="false" customHeight="false" outlineLevel="0" collapsed="false">
      <c r="A51" s="0" t="n">
        <v>506029</v>
      </c>
      <c r="B51" s="0" t="s">
        <v>146</v>
      </c>
      <c r="C51" s="0" t="s">
        <v>19</v>
      </c>
      <c r="D51" s="0" t="s">
        <v>37</v>
      </c>
      <c r="E51" s="0" t="s">
        <v>50</v>
      </c>
      <c r="F51" s="0" t="s">
        <v>147</v>
      </c>
      <c r="G51" s="0" t="n">
        <v>1</v>
      </c>
      <c r="H51" s="0" t="n">
        <v>99.11</v>
      </c>
      <c r="I51" s="0" t="n">
        <v>99.11</v>
      </c>
      <c r="J51" s="0" t="n">
        <v>57.72</v>
      </c>
      <c r="K51" s="0" t="n">
        <v>41.39</v>
      </c>
      <c r="L51" s="0" t="s">
        <v>148</v>
      </c>
    </row>
    <row r="52" customFormat="false" ht="15" hidden="false" customHeight="false" outlineLevel="0" collapsed="false">
      <c r="A52" s="0" t="n">
        <v>522681</v>
      </c>
      <c r="B52" s="0" t="s">
        <v>149</v>
      </c>
      <c r="C52" s="0" t="s">
        <v>19</v>
      </c>
      <c r="D52" s="0" t="s">
        <v>37</v>
      </c>
      <c r="E52" s="0" t="s">
        <v>50</v>
      </c>
      <c r="F52" s="0" t="s">
        <v>150</v>
      </c>
      <c r="G52" s="0" t="n">
        <v>1</v>
      </c>
      <c r="H52" s="0" t="n">
        <v>240.56</v>
      </c>
      <c r="I52" s="0" t="n">
        <v>240.56</v>
      </c>
      <c r="J52" s="0" t="n">
        <v>137.99</v>
      </c>
      <c r="K52" s="0" t="n">
        <v>102.57</v>
      </c>
      <c r="L52" s="0" t="s">
        <v>76</v>
      </c>
    </row>
    <row r="53" customFormat="false" ht="15" hidden="false" customHeight="false" outlineLevel="0" collapsed="false">
      <c r="A53" s="0" t="n">
        <v>522677</v>
      </c>
      <c r="B53" s="0" t="s">
        <v>149</v>
      </c>
      <c r="C53" s="0" t="s">
        <v>19</v>
      </c>
      <c r="D53" s="0" t="s">
        <v>33</v>
      </c>
      <c r="E53" s="0" t="s">
        <v>59</v>
      </c>
      <c r="F53" s="0" t="s">
        <v>151</v>
      </c>
      <c r="G53" s="0" t="n">
        <v>1</v>
      </c>
      <c r="H53" s="0" t="n">
        <v>202.41</v>
      </c>
      <c r="I53" s="0" t="n">
        <v>202.41</v>
      </c>
      <c r="J53" s="0" t="n">
        <v>112.77</v>
      </c>
      <c r="K53" s="0" t="n">
        <v>89.64</v>
      </c>
      <c r="L53" s="0" t="s">
        <v>76</v>
      </c>
    </row>
    <row r="54" customFormat="false" ht="15" hidden="false" customHeight="false" outlineLevel="0" collapsed="false">
      <c r="A54" s="0" t="n">
        <v>506760</v>
      </c>
      <c r="B54" s="0" t="s">
        <v>152</v>
      </c>
      <c r="C54" s="0" t="s">
        <v>19</v>
      </c>
      <c r="D54" s="0" t="s">
        <v>25</v>
      </c>
      <c r="E54" s="0" t="s">
        <v>55</v>
      </c>
      <c r="F54" s="0" t="s">
        <v>153</v>
      </c>
      <c r="G54" s="0" t="n">
        <v>1</v>
      </c>
      <c r="H54" s="0" t="n">
        <v>56.93</v>
      </c>
      <c r="I54" s="0" t="n">
        <v>56.93</v>
      </c>
      <c r="J54" s="0" t="n">
        <v>32.64</v>
      </c>
      <c r="K54" s="0" t="n">
        <v>24.29</v>
      </c>
      <c r="L54" s="0" t="s">
        <v>154</v>
      </c>
    </row>
    <row r="55" customFormat="false" ht="15" hidden="false" customHeight="false" outlineLevel="0" collapsed="false">
      <c r="A55" s="0" t="n">
        <v>524402</v>
      </c>
      <c r="B55" s="0" t="s">
        <v>155</v>
      </c>
      <c r="C55" s="0" t="s">
        <v>19</v>
      </c>
      <c r="D55" s="0" t="s">
        <v>54</v>
      </c>
      <c r="E55" s="0" t="s">
        <v>50</v>
      </c>
      <c r="F55" s="0" t="s">
        <v>156</v>
      </c>
      <c r="G55" s="0" t="n">
        <v>1</v>
      </c>
      <c r="H55" s="0" t="n">
        <v>242.39</v>
      </c>
      <c r="I55" s="0" t="n">
        <v>242.39</v>
      </c>
      <c r="J55" s="0" t="n">
        <v>142.13</v>
      </c>
      <c r="K55" s="0" t="n">
        <v>100.26</v>
      </c>
      <c r="L55" s="0" t="s">
        <v>107</v>
      </c>
    </row>
    <row r="56" customFormat="false" ht="15" hidden="false" customHeight="false" outlineLevel="0" collapsed="false">
      <c r="A56" s="0" t="n">
        <v>532907</v>
      </c>
      <c r="B56" s="0" t="s">
        <v>46</v>
      </c>
      <c r="C56" s="0" t="s">
        <v>19</v>
      </c>
      <c r="D56" s="0" t="s">
        <v>37</v>
      </c>
      <c r="E56" s="0" t="s">
        <v>47</v>
      </c>
      <c r="F56" s="0" t="s">
        <v>157</v>
      </c>
      <c r="G56" s="0" t="n">
        <v>1</v>
      </c>
      <c r="H56" s="0" t="n">
        <v>236.01</v>
      </c>
      <c r="I56" s="0" t="n">
        <v>236.01</v>
      </c>
      <c r="J56" s="0" t="n">
        <v>138.59</v>
      </c>
      <c r="K56" s="0" t="n">
        <v>97.42</v>
      </c>
      <c r="L56" s="0" t="s">
        <v>27</v>
      </c>
    </row>
    <row r="57" customFormat="false" ht="15" hidden="false" customHeight="false" outlineLevel="0" collapsed="false">
      <c r="A57" s="0" t="n">
        <v>516042</v>
      </c>
      <c r="B57" s="0" t="s">
        <v>139</v>
      </c>
      <c r="C57" s="0" t="s">
        <v>19</v>
      </c>
      <c r="D57" s="0" t="s">
        <v>25</v>
      </c>
      <c r="E57" s="0" t="s">
        <v>55</v>
      </c>
      <c r="F57" s="0" t="s">
        <v>158</v>
      </c>
      <c r="G57" s="0" t="n">
        <v>2</v>
      </c>
      <c r="H57" s="0" t="n">
        <v>166.2</v>
      </c>
      <c r="I57" s="0" t="n">
        <v>332.4</v>
      </c>
      <c r="J57" s="0" t="n">
        <v>194.34</v>
      </c>
      <c r="K57" s="0" t="n">
        <v>138.06</v>
      </c>
      <c r="L57" s="0" t="s">
        <v>132</v>
      </c>
    </row>
    <row r="58" customFormat="false" ht="15" hidden="false" customHeight="false" outlineLevel="0" collapsed="false">
      <c r="A58" s="0" t="n">
        <v>501512</v>
      </c>
      <c r="B58" s="0" t="s">
        <v>98</v>
      </c>
      <c r="C58" s="0" t="s">
        <v>19</v>
      </c>
      <c r="D58" s="0" t="s">
        <v>54</v>
      </c>
      <c r="E58" s="0" t="s">
        <v>59</v>
      </c>
      <c r="F58" s="0" t="s">
        <v>159</v>
      </c>
      <c r="G58" s="0" t="n">
        <v>3</v>
      </c>
      <c r="H58" s="0" t="n">
        <v>80.65</v>
      </c>
      <c r="I58" s="0" t="n">
        <v>241.95</v>
      </c>
      <c r="J58" s="0" t="n">
        <v>135.63</v>
      </c>
      <c r="K58" s="0" t="n">
        <v>106.32</v>
      </c>
      <c r="L58" s="0" t="s">
        <v>61</v>
      </c>
    </row>
    <row r="59" customFormat="false" ht="15" hidden="false" customHeight="false" outlineLevel="0" collapsed="false">
      <c r="A59" s="0" t="n">
        <v>533888</v>
      </c>
      <c r="B59" s="0" t="s">
        <v>160</v>
      </c>
      <c r="C59" s="0" t="s">
        <v>19</v>
      </c>
      <c r="D59" s="0" t="s">
        <v>20</v>
      </c>
      <c r="E59" s="0" t="s">
        <v>21</v>
      </c>
      <c r="F59" s="0" t="s">
        <v>41</v>
      </c>
      <c r="G59" s="0" t="n">
        <v>1</v>
      </c>
      <c r="H59" s="0" t="n">
        <v>159.69</v>
      </c>
      <c r="I59" s="0" t="n">
        <v>159.69</v>
      </c>
      <c r="J59" s="0" t="n">
        <v>88.45</v>
      </c>
      <c r="K59" s="0" t="n">
        <v>71.24</v>
      </c>
      <c r="L59" s="0" t="s">
        <v>70</v>
      </c>
    </row>
    <row r="60" customFormat="false" ht="15" hidden="false" customHeight="false" outlineLevel="0" collapsed="false">
      <c r="A60" s="0" t="n">
        <v>526494</v>
      </c>
      <c r="B60" s="0" t="s">
        <v>161</v>
      </c>
      <c r="C60" s="0" t="s">
        <v>19</v>
      </c>
      <c r="D60" s="0" t="s">
        <v>25</v>
      </c>
      <c r="E60" s="0" t="s">
        <v>59</v>
      </c>
      <c r="F60" s="0" t="s">
        <v>151</v>
      </c>
      <c r="G60" s="0" t="n">
        <v>1</v>
      </c>
      <c r="H60" s="0" t="n">
        <v>192.72</v>
      </c>
      <c r="I60" s="0" t="n">
        <v>192.72</v>
      </c>
      <c r="J60" s="0" t="n">
        <v>112.77</v>
      </c>
      <c r="K60" s="0" t="n">
        <v>79.95</v>
      </c>
      <c r="L60" s="0" t="s">
        <v>42</v>
      </c>
    </row>
    <row r="61" customFormat="false" ht="15" hidden="false" customHeight="false" outlineLevel="0" collapsed="false">
      <c r="A61" s="0" t="n">
        <v>514742</v>
      </c>
      <c r="B61" s="0" t="s">
        <v>162</v>
      </c>
      <c r="C61" s="0" t="s">
        <v>19</v>
      </c>
      <c r="D61" s="0" t="s">
        <v>37</v>
      </c>
      <c r="E61" s="0" t="s">
        <v>55</v>
      </c>
      <c r="F61" s="0" t="s">
        <v>163</v>
      </c>
      <c r="G61" s="0" t="n">
        <v>1</v>
      </c>
      <c r="H61" s="0" t="n">
        <v>185.22</v>
      </c>
      <c r="I61" s="0" t="n">
        <v>185.22</v>
      </c>
      <c r="J61" s="0" t="n">
        <v>102.85</v>
      </c>
      <c r="K61" s="0" t="n">
        <v>82.37</v>
      </c>
      <c r="L61" s="0" t="s">
        <v>97</v>
      </c>
    </row>
    <row r="62" customFormat="false" ht="15" hidden="false" customHeight="false" outlineLevel="0" collapsed="false">
      <c r="A62" s="0" t="n">
        <v>508870</v>
      </c>
      <c r="B62" s="0" t="s">
        <v>36</v>
      </c>
      <c r="C62" s="0" t="s">
        <v>19</v>
      </c>
      <c r="D62" s="0" t="s">
        <v>20</v>
      </c>
      <c r="E62" s="0" t="s">
        <v>55</v>
      </c>
      <c r="F62" s="0" t="s">
        <v>164</v>
      </c>
      <c r="G62" s="0" t="n">
        <v>1</v>
      </c>
      <c r="H62" s="0" t="n">
        <v>129.22</v>
      </c>
      <c r="I62" s="0" t="n">
        <v>129.22</v>
      </c>
      <c r="J62" s="0" t="n">
        <v>73.36</v>
      </c>
      <c r="K62" s="0" t="n">
        <v>55.86</v>
      </c>
      <c r="L62" s="0" t="s">
        <v>39</v>
      </c>
    </row>
    <row r="63" customFormat="false" ht="15" hidden="false" customHeight="false" outlineLevel="0" collapsed="false">
      <c r="A63" s="0" t="n">
        <v>517107</v>
      </c>
      <c r="B63" s="0" t="s">
        <v>165</v>
      </c>
      <c r="C63" s="0" t="s">
        <v>19</v>
      </c>
      <c r="D63" s="0" t="s">
        <v>20</v>
      </c>
      <c r="E63" s="0" t="s">
        <v>50</v>
      </c>
      <c r="F63" s="0" t="s">
        <v>166</v>
      </c>
      <c r="G63" s="0" t="n">
        <v>1</v>
      </c>
      <c r="H63" s="0" t="n">
        <v>161.33</v>
      </c>
      <c r="I63" s="0" t="n">
        <v>161.33</v>
      </c>
      <c r="J63" s="0" t="n">
        <v>90.4</v>
      </c>
      <c r="K63" s="0" t="n">
        <v>70.93</v>
      </c>
      <c r="L63" s="0" t="s">
        <v>79</v>
      </c>
    </row>
    <row r="64" customFormat="false" ht="15" hidden="false" customHeight="false" outlineLevel="0" collapsed="false">
      <c r="A64" s="0" t="n">
        <v>502668</v>
      </c>
      <c r="B64" s="0" t="s">
        <v>167</v>
      </c>
      <c r="C64" s="0" t="s">
        <v>19</v>
      </c>
      <c r="D64" s="0" t="s">
        <v>25</v>
      </c>
      <c r="E64" s="0" t="s">
        <v>59</v>
      </c>
      <c r="F64" s="0" t="s">
        <v>168</v>
      </c>
      <c r="G64" s="0" t="n">
        <v>1</v>
      </c>
      <c r="H64" s="0" t="n">
        <v>124.95</v>
      </c>
      <c r="I64" s="0" t="n">
        <v>124.95</v>
      </c>
      <c r="J64" s="0" t="n">
        <v>71.5</v>
      </c>
      <c r="K64" s="0" t="n">
        <v>53.45</v>
      </c>
      <c r="L64" s="0" t="s">
        <v>102</v>
      </c>
    </row>
    <row r="65" customFormat="false" ht="15" hidden="false" customHeight="false" outlineLevel="0" collapsed="false">
      <c r="A65" s="0" t="n">
        <v>515865</v>
      </c>
      <c r="B65" s="0" t="s">
        <v>169</v>
      </c>
      <c r="C65" s="0" t="s">
        <v>19</v>
      </c>
      <c r="D65" s="0" t="s">
        <v>54</v>
      </c>
      <c r="E65" s="0" t="s">
        <v>21</v>
      </c>
      <c r="F65" s="0" t="s">
        <v>170</v>
      </c>
      <c r="G65" s="0" t="n">
        <v>3</v>
      </c>
      <c r="H65" s="0" t="n">
        <v>873.72</v>
      </c>
      <c r="I65" s="0" t="n">
        <v>2621.16</v>
      </c>
      <c r="J65" s="0" t="n">
        <v>1556.01</v>
      </c>
      <c r="K65" s="0" t="n">
        <v>1065.15</v>
      </c>
      <c r="L65" s="0" t="s">
        <v>132</v>
      </c>
    </row>
    <row r="66" customFormat="false" ht="15" hidden="false" customHeight="false" outlineLevel="0" collapsed="false">
      <c r="A66" s="0" t="n">
        <v>511485</v>
      </c>
      <c r="B66" s="0" t="s">
        <v>171</v>
      </c>
      <c r="C66" s="0" t="s">
        <v>19</v>
      </c>
      <c r="D66" s="0" t="s">
        <v>54</v>
      </c>
      <c r="E66" s="0" t="s">
        <v>50</v>
      </c>
      <c r="F66" s="0" t="s">
        <v>172</v>
      </c>
      <c r="G66" s="0" t="n">
        <v>2</v>
      </c>
      <c r="H66" s="0" t="n">
        <v>267.29</v>
      </c>
      <c r="I66" s="0" t="n">
        <v>534.58</v>
      </c>
      <c r="J66" s="0" t="n">
        <v>301.72</v>
      </c>
      <c r="K66" s="0" t="n">
        <v>232.86</v>
      </c>
      <c r="L66" s="0" t="s">
        <v>73</v>
      </c>
    </row>
    <row r="67" customFormat="false" ht="15" hidden="false" customHeight="false" outlineLevel="0" collapsed="false">
      <c r="A67" s="0" t="n">
        <v>530731</v>
      </c>
      <c r="B67" s="0" t="s">
        <v>173</v>
      </c>
      <c r="C67" s="0" t="s">
        <v>19</v>
      </c>
      <c r="D67" s="0" t="s">
        <v>37</v>
      </c>
      <c r="E67" s="0" t="s">
        <v>50</v>
      </c>
      <c r="F67" s="0" t="s">
        <v>115</v>
      </c>
      <c r="G67" s="0" t="n">
        <v>2</v>
      </c>
      <c r="H67" s="0" t="n">
        <v>77.85</v>
      </c>
      <c r="I67" s="0" t="n">
        <v>155.7</v>
      </c>
      <c r="J67" s="0" t="n">
        <v>92.72</v>
      </c>
      <c r="K67" s="0" t="n">
        <v>62.98</v>
      </c>
      <c r="L67" s="0" t="s">
        <v>57</v>
      </c>
    </row>
    <row r="68" customFormat="false" ht="15" hidden="false" customHeight="false" outlineLevel="0" collapsed="false">
      <c r="A68" s="0" t="n">
        <v>537076</v>
      </c>
      <c r="B68" s="0" t="s">
        <v>174</v>
      </c>
      <c r="C68" s="0" t="s">
        <v>19</v>
      </c>
      <c r="D68" s="0" t="s">
        <v>33</v>
      </c>
      <c r="E68" s="0" t="s">
        <v>21</v>
      </c>
      <c r="F68" s="0" t="s">
        <v>69</v>
      </c>
      <c r="G68" s="0" t="n">
        <v>2</v>
      </c>
      <c r="H68" s="0" t="n">
        <v>150.63</v>
      </c>
      <c r="I68" s="0" t="n">
        <v>301.26</v>
      </c>
      <c r="J68" s="0" t="n">
        <v>173.98</v>
      </c>
      <c r="K68" s="0" t="n">
        <v>127.28</v>
      </c>
      <c r="L68" s="0" t="s">
        <v>64</v>
      </c>
    </row>
    <row r="69" customFormat="false" ht="15" hidden="false" customHeight="false" outlineLevel="0" collapsed="false">
      <c r="A69" s="0" t="n">
        <v>525298</v>
      </c>
      <c r="B69" s="0" t="s">
        <v>175</v>
      </c>
      <c r="C69" s="0" t="s">
        <v>19</v>
      </c>
      <c r="D69" s="0" t="s">
        <v>37</v>
      </c>
      <c r="E69" s="0" t="s">
        <v>29</v>
      </c>
      <c r="F69" s="0" t="s">
        <v>176</v>
      </c>
      <c r="G69" s="0" t="n">
        <v>1</v>
      </c>
      <c r="H69" s="0" t="n">
        <v>468.69</v>
      </c>
      <c r="I69" s="0" t="n">
        <v>468.69</v>
      </c>
      <c r="J69" s="0" t="n">
        <v>279.13</v>
      </c>
      <c r="K69" s="0" t="n">
        <v>189.56</v>
      </c>
      <c r="L69" s="0" t="s">
        <v>127</v>
      </c>
    </row>
    <row r="70" customFormat="false" ht="15" hidden="false" customHeight="false" outlineLevel="0" collapsed="false">
      <c r="A70" s="0" t="n">
        <v>508700</v>
      </c>
      <c r="B70" s="0" t="s">
        <v>177</v>
      </c>
      <c r="C70" s="0" t="s">
        <v>19</v>
      </c>
      <c r="D70" s="0" t="s">
        <v>37</v>
      </c>
      <c r="E70" s="0" t="s">
        <v>55</v>
      </c>
      <c r="F70" s="0" t="s">
        <v>134</v>
      </c>
      <c r="G70" s="0" t="n">
        <v>1</v>
      </c>
      <c r="H70" s="0" t="n">
        <v>77.68</v>
      </c>
      <c r="I70" s="0" t="n">
        <v>77.68</v>
      </c>
      <c r="J70" s="0" t="n">
        <v>43.59</v>
      </c>
      <c r="K70" s="0" t="n">
        <v>34.09</v>
      </c>
      <c r="L70" s="0" t="s">
        <v>39</v>
      </c>
    </row>
    <row r="71" customFormat="false" ht="15" hidden="false" customHeight="false" outlineLevel="0" collapsed="false">
      <c r="A71" s="0" t="n">
        <v>528232</v>
      </c>
      <c r="B71" s="0" t="s">
        <v>178</v>
      </c>
      <c r="C71" s="0" t="s">
        <v>19</v>
      </c>
      <c r="D71" s="0" t="s">
        <v>33</v>
      </c>
      <c r="E71" s="0" t="s">
        <v>55</v>
      </c>
      <c r="F71" s="0" t="s">
        <v>179</v>
      </c>
      <c r="G71" s="0" t="n">
        <v>2</v>
      </c>
      <c r="H71" s="0" t="n">
        <v>150.51</v>
      </c>
      <c r="I71" s="0" t="n">
        <v>301.02</v>
      </c>
      <c r="J71" s="0" t="n">
        <v>169.4</v>
      </c>
      <c r="K71" s="0" t="n">
        <v>131.62</v>
      </c>
      <c r="L71" s="0" t="s">
        <v>52</v>
      </c>
    </row>
    <row r="72" customFormat="false" ht="15" hidden="false" customHeight="false" outlineLevel="0" collapsed="false">
      <c r="A72" s="0" t="n">
        <v>514574</v>
      </c>
      <c r="B72" s="0" t="s">
        <v>180</v>
      </c>
      <c r="C72" s="0" t="s">
        <v>19</v>
      </c>
      <c r="D72" s="0" t="s">
        <v>25</v>
      </c>
      <c r="E72" s="0" t="s">
        <v>21</v>
      </c>
      <c r="F72" s="0" t="s">
        <v>181</v>
      </c>
      <c r="G72" s="0" t="n">
        <v>1</v>
      </c>
      <c r="H72" s="0" t="n">
        <v>386.19</v>
      </c>
      <c r="I72" s="0" t="n">
        <v>386.19</v>
      </c>
      <c r="J72" s="0" t="n">
        <v>228.45</v>
      </c>
      <c r="K72" s="0" t="n">
        <v>157.74</v>
      </c>
      <c r="L72" s="0" t="s">
        <v>35</v>
      </c>
    </row>
    <row r="73" customFormat="false" ht="15" hidden="false" customHeight="false" outlineLevel="0" collapsed="false">
      <c r="A73" s="0" t="n">
        <v>502217</v>
      </c>
      <c r="B73" s="0" t="s">
        <v>182</v>
      </c>
      <c r="C73" s="0" t="s">
        <v>19</v>
      </c>
      <c r="D73" s="0" t="s">
        <v>54</v>
      </c>
      <c r="E73" s="0" t="s">
        <v>50</v>
      </c>
      <c r="F73" s="0" t="s">
        <v>115</v>
      </c>
      <c r="G73" s="0" t="n">
        <v>1</v>
      </c>
      <c r="H73" s="0" t="n">
        <v>288.66</v>
      </c>
      <c r="I73" s="0" t="n">
        <v>288.66</v>
      </c>
      <c r="J73" s="0" t="n">
        <v>161.13</v>
      </c>
      <c r="K73" s="0" t="n">
        <v>127.53</v>
      </c>
      <c r="L73" s="0" t="s">
        <v>102</v>
      </c>
    </row>
    <row r="74" customFormat="false" ht="15" hidden="false" customHeight="false" outlineLevel="0" collapsed="false">
      <c r="A74" s="0" t="n">
        <v>520180</v>
      </c>
      <c r="B74" s="0" t="s">
        <v>183</v>
      </c>
      <c r="C74" s="0" t="s">
        <v>19</v>
      </c>
      <c r="D74" s="0" t="s">
        <v>54</v>
      </c>
      <c r="E74" s="0" t="s">
        <v>47</v>
      </c>
      <c r="F74" s="0" t="s">
        <v>184</v>
      </c>
      <c r="G74" s="0" t="n">
        <v>3</v>
      </c>
      <c r="H74" s="0" t="n">
        <v>434.95</v>
      </c>
      <c r="I74" s="0" t="n">
        <v>1304.85</v>
      </c>
      <c r="J74" s="0" t="n">
        <v>744.72</v>
      </c>
      <c r="K74" s="0" t="n">
        <v>560.13</v>
      </c>
      <c r="L74" s="0" t="s">
        <v>23</v>
      </c>
    </row>
    <row r="75" customFormat="false" ht="15" hidden="false" customHeight="false" outlineLevel="0" collapsed="false">
      <c r="A75" s="0" t="n">
        <v>524330</v>
      </c>
      <c r="B75" s="0" t="s">
        <v>185</v>
      </c>
      <c r="C75" s="0" t="s">
        <v>19</v>
      </c>
      <c r="D75" s="0" t="s">
        <v>37</v>
      </c>
      <c r="E75" s="0" t="s">
        <v>55</v>
      </c>
      <c r="F75" s="0" t="s">
        <v>134</v>
      </c>
      <c r="G75" s="0" t="n">
        <v>2</v>
      </c>
      <c r="H75" s="0" t="n">
        <v>84.62</v>
      </c>
      <c r="I75" s="0" t="n">
        <v>169.24</v>
      </c>
      <c r="J75" s="0" t="n">
        <v>97.72</v>
      </c>
      <c r="K75" s="0" t="n">
        <v>71.52</v>
      </c>
      <c r="L75" s="0" t="s">
        <v>107</v>
      </c>
    </row>
    <row r="76" customFormat="false" ht="15" hidden="false" customHeight="false" outlineLevel="0" collapsed="false">
      <c r="A76" s="0" t="n">
        <v>525095</v>
      </c>
      <c r="B76" s="0" t="s">
        <v>186</v>
      </c>
      <c r="C76" s="0" t="s">
        <v>19</v>
      </c>
      <c r="D76" s="0" t="s">
        <v>20</v>
      </c>
      <c r="E76" s="0" t="s">
        <v>59</v>
      </c>
      <c r="F76" s="0" t="s">
        <v>187</v>
      </c>
      <c r="G76" s="0" t="n">
        <v>1</v>
      </c>
      <c r="H76" s="0" t="n">
        <v>256.77</v>
      </c>
      <c r="I76" s="0" t="n">
        <v>256.77</v>
      </c>
      <c r="J76" s="0" t="n">
        <v>142.59</v>
      </c>
      <c r="K76" s="0" t="n">
        <v>114.18</v>
      </c>
      <c r="L76" s="0" t="s">
        <v>127</v>
      </c>
    </row>
    <row r="77" customFormat="false" ht="15" hidden="false" customHeight="false" outlineLevel="0" collapsed="false">
      <c r="A77" s="0" t="n">
        <v>512868</v>
      </c>
      <c r="B77" s="0" t="s">
        <v>188</v>
      </c>
      <c r="C77" s="0" t="s">
        <v>19</v>
      </c>
      <c r="D77" s="0" t="s">
        <v>33</v>
      </c>
      <c r="E77" s="0" t="s">
        <v>21</v>
      </c>
      <c r="F77" s="0" t="s">
        <v>189</v>
      </c>
      <c r="G77" s="0" t="n">
        <v>1</v>
      </c>
      <c r="H77" s="0" t="n">
        <v>131.67</v>
      </c>
      <c r="I77" s="0" t="n">
        <v>131.67</v>
      </c>
      <c r="J77" s="0" t="n">
        <v>77.67</v>
      </c>
      <c r="K77" s="0" t="n">
        <v>54</v>
      </c>
      <c r="L77" s="0" t="s">
        <v>190</v>
      </c>
    </row>
    <row r="78" customFormat="false" ht="15" hidden="false" customHeight="false" outlineLevel="0" collapsed="false">
      <c r="A78" s="0" t="n">
        <v>519990</v>
      </c>
      <c r="B78" s="0" t="s">
        <v>191</v>
      </c>
      <c r="C78" s="0" t="s">
        <v>19</v>
      </c>
      <c r="D78" s="0" t="s">
        <v>33</v>
      </c>
      <c r="E78" s="0" t="s">
        <v>47</v>
      </c>
      <c r="F78" s="0" t="s">
        <v>104</v>
      </c>
      <c r="G78" s="0" t="n">
        <v>1</v>
      </c>
      <c r="H78" s="0" t="n">
        <v>432.85</v>
      </c>
      <c r="I78" s="0" t="n">
        <v>432.85</v>
      </c>
      <c r="J78" s="0" t="n">
        <v>255.55</v>
      </c>
      <c r="K78" s="0" t="n">
        <v>177.3</v>
      </c>
      <c r="L78" s="0" t="s">
        <v>23</v>
      </c>
    </row>
    <row r="79" customFormat="false" ht="15" hidden="false" customHeight="false" outlineLevel="0" collapsed="false">
      <c r="A79" s="0" t="n">
        <v>520125</v>
      </c>
      <c r="B79" s="0" t="s">
        <v>192</v>
      </c>
      <c r="C79" s="0" t="s">
        <v>19</v>
      </c>
      <c r="D79" s="0" t="s">
        <v>20</v>
      </c>
      <c r="E79" s="0" t="s">
        <v>55</v>
      </c>
      <c r="F79" s="0" t="s">
        <v>153</v>
      </c>
      <c r="G79" s="0" t="n">
        <v>1</v>
      </c>
      <c r="H79" s="0" t="n">
        <v>54.62</v>
      </c>
      <c r="I79" s="0" t="n">
        <v>54.62</v>
      </c>
      <c r="J79" s="0" t="n">
        <v>32.64</v>
      </c>
      <c r="K79" s="0" t="n">
        <v>21.98</v>
      </c>
      <c r="L79" s="0" t="s">
        <v>23</v>
      </c>
    </row>
    <row r="80" customFormat="false" ht="15" hidden="false" customHeight="false" outlineLevel="0" collapsed="false">
      <c r="A80" s="0" t="n">
        <v>509078</v>
      </c>
      <c r="B80" s="0" t="s">
        <v>193</v>
      </c>
      <c r="C80" s="0" t="s">
        <v>19</v>
      </c>
      <c r="D80" s="0" t="s">
        <v>33</v>
      </c>
      <c r="E80" s="0" t="s">
        <v>50</v>
      </c>
      <c r="F80" s="0" t="s">
        <v>194</v>
      </c>
      <c r="G80" s="0" t="n">
        <v>3</v>
      </c>
      <c r="H80" s="0" t="n">
        <v>319.8</v>
      </c>
      <c r="I80" s="0" t="n">
        <v>959.4</v>
      </c>
      <c r="J80" s="0" t="n">
        <v>563.13</v>
      </c>
      <c r="K80" s="0" t="n">
        <v>396.27</v>
      </c>
      <c r="L80" s="0" t="s">
        <v>39</v>
      </c>
    </row>
    <row r="81" customFormat="false" ht="15" hidden="false" customHeight="false" outlineLevel="0" collapsed="false">
      <c r="A81" s="0" t="n">
        <v>535675</v>
      </c>
      <c r="B81" s="0" t="s">
        <v>195</v>
      </c>
      <c r="C81" s="0" t="s">
        <v>19</v>
      </c>
      <c r="D81" s="0" t="s">
        <v>25</v>
      </c>
      <c r="E81" s="0" t="s">
        <v>59</v>
      </c>
      <c r="F81" s="0" t="s">
        <v>124</v>
      </c>
      <c r="G81" s="0" t="n">
        <v>1</v>
      </c>
      <c r="H81" s="0" t="n">
        <v>221.68</v>
      </c>
      <c r="I81" s="0" t="n">
        <v>221.68</v>
      </c>
      <c r="J81" s="0" t="n">
        <v>130.66</v>
      </c>
      <c r="K81" s="0" t="n">
        <v>91.02</v>
      </c>
      <c r="L81" s="0" t="s">
        <v>64</v>
      </c>
    </row>
    <row r="82" customFormat="false" ht="15" hidden="false" customHeight="false" outlineLevel="0" collapsed="false">
      <c r="A82" s="0" t="n">
        <v>519321</v>
      </c>
      <c r="B82" s="0" t="s">
        <v>196</v>
      </c>
      <c r="C82" s="0" t="s">
        <v>19</v>
      </c>
      <c r="D82" s="0" t="s">
        <v>54</v>
      </c>
      <c r="E82" s="0" t="s">
        <v>55</v>
      </c>
      <c r="F82" s="0" t="s">
        <v>197</v>
      </c>
      <c r="G82" s="0" t="n">
        <v>1</v>
      </c>
      <c r="H82" s="0" t="n">
        <v>74.03</v>
      </c>
      <c r="I82" s="0" t="n">
        <v>74.03</v>
      </c>
      <c r="J82" s="0" t="n">
        <v>42.81</v>
      </c>
      <c r="K82" s="0" t="n">
        <v>31.22</v>
      </c>
      <c r="L82" s="0" t="s">
        <v>198</v>
      </c>
    </row>
    <row r="83" customFormat="false" ht="15" hidden="false" customHeight="false" outlineLevel="0" collapsed="false">
      <c r="A83" s="0" t="n">
        <v>530521</v>
      </c>
      <c r="B83" s="0" t="s">
        <v>199</v>
      </c>
      <c r="C83" s="0" t="s">
        <v>19</v>
      </c>
      <c r="D83" s="0" t="s">
        <v>37</v>
      </c>
      <c r="E83" s="0" t="s">
        <v>59</v>
      </c>
      <c r="F83" s="0" t="s">
        <v>200</v>
      </c>
      <c r="G83" s="0" t="n">
        <v>1</v>
      </c>
      <c r="H83" s="0" t="n">
        <v>42.11</v>
      </c>
      <c r="I83" s="0" t="n">
        <v>42.11</v>
      </c>
      <c r="J83" s="0" t="n">
        <v>24.21</v>
      </c>
      <c r="K83" s="0" t="n">
        <v>17.9</v>
      </c>
      <c r="L83" s="0" t="s">
        <v>57</v>
      </c>
    </row>
    <row r="84" customFormat="false" ht="15" hidden="false" customHeight="false" outlineLevel="0" collapsed="false">
      <c r="A84" s="0" t="n">
        <v>527610</v>
      </c>
      <c r="B84" s="0" t="s">
        <v>201</v>
      </c>
      <c r="C84" s="0" t="s">
        <v>19</v>
      </c>
      <c r="D84" s="0" t="s">
        <v>37</v>
      </c>
      <c r="E84" s="0" t="s">
        <v>50</v>
      </c>
      <c r="F84" s="0" t="s">
        <v>202</v>
      </c>
      <c r="G84" s="0" t="n">
        <v>1</v>
      </c>
      <c r="H84" s="0" t="n">
        <v>279.55</v>
      </c>
      <c r="I84" s="0" t="n">
        <v>279.55</v>
      </c>
      <c r="J84" s="0" t="n">
        <v>155.78</v>
      </c>
      <c r="K84" s="0" t="n">
        <v>123.77</v>
      </c>
      <c r="L84" s="0" t="s">
        <v>52</v>
      </c>
    </row>
    <row r="85" customFormat="false" ht="15" hidden="false" customHeight="false" outlineLevel="0" collapsed="false">
      <c r="A85" s="0" t="n">
        <v>515324</v>
      </c>
      <c r="B85" s="0" t="s">
        <v>203</v>
      </c>
      <c r="C85" s="0" t="s">
        <v>19</v>
      </c>
      <c r="D85" s="0" t="s">
        <v>25</v>
      </c>
      <c r="E85" s="0" t="s">
        <v>55</v>
      </c>
      <c r="F85" s="0" t="s">
        <v>204</v>
      </c>
      <c r="G85" s="0" t="n">
        <v>1</v>
      </c>
      <c r="H85" s="0" t="n">
        <v>187.39</v>
      </c>
      <c r="I85" s="0" t="n">
        <v>187.39</v>
      </c>
      <c r="J85" s="0" t="n">
        <v>106.72</v>
      </c>
      <c r="K85" s="0" t="n">
        <v>80.67</v>
      </c>
      <c r="L85" s="0" t="s">
        <v>97</v>
      </c>
    </row>
    <row r="86" customFormat="false" ht="15" hidden="false" customHeight="false" outlineLevel="0" collapsed="false">
      <c r="A86" s="0" t="n">
        <v>528046</v>
      </c>
      <c r="B86" s="0" t="s">
        <v>205</v>
      </c>
      <c r="C86" s="0" t="s">
        <v>19</v>
      </c>
      <c r="D86" s="0" t="s">
        <v>54</v>
      </c>
      <c r="E86" s="0" t="s">
        <v>29</v>
      </c>
      <c r="F86" s="0" t="s">
        <v>206</v>
      </c>
      <c r="G86" s="0" t="n">
        <v>1</v>
      </c>
      <c r="H86" s="0" t="n">
        <v>112.82</v>
      </c>
      <c r="I86" s="0" t="n">
        <v>112.82</v>
      </c>
      <c r="J86" s="0" t="n">
        <v>66.54</v>
      </c>
      <c r="K86" s="0" t="n">
        <v>46.28</v>
      </c>
      <c r="L86" s="0" t="s">
        <v>52</v>
      </c>
    </row>
    <row r="87" customFormat="false" ht="15" hidden="false" customHeight="false" outlineLevel="0" collapsed="false">
      <c r="A87" s="0" t="n">
        <v>530822</v>
      </c>
      <c r="B87" s="0" t="s">
        <v>207</v>
      </c>
      <c r="C87" s="0" t="s">
        <v>19</v>
      </c>
      <c r="D87" s="0" t="s">
        <v>37</v>
      </c>
      <c r="E87" s="0" t="s">
        <v>21</v>
      </c>
      <c r="F87" s="0" t="s">
        <v>208</v>
      </c>
      <c r="G87" s="0" t="n">
        <v>3</v>
      </c>
      <c r="H87" s="0" t="n">
        <v>712.13</v>
      </c>
      <c r="I87" s="0" t="n">
        <v>2136.39</v>
      </c>
      <c r="J87" s="0" t="n">
        <v>1216.47</v>
      </c>
      <c r="K87" s="0" t="n">
        <v>919.92</v>
      </c>
      <c r="L87" s="0" t="s">
        <v>57</v>
      </c>
    </row>
    <row r="88" customFormat="false" ht="15" hidden="false" customHeight="false" outlineLevel="0" collapsed="false">
      <c r="A88" s="0" t="n">
        <v>531337</v>
      </c>
      <c r="B88" s="0" t="s">
        <v>209</v>
      </c>
      <c r="C88" s="0" t="s">
        <v>19</v>
      </c>
      <c r="D88" s="0" t="s">
        <v>54</v>
      </c>
      <c r="E88" s="0" t="s">
        <v>59</v>
      </c>
      <c r="F88" s="0" t="s">
        <v>210</v>
      </c>
      <c r="G88" s="0" t="n">
        <v>1</v>
      </c>
      <c r="H88" s="0" t="n">
        <v>58.71</v>
      </c>
      <c r="I88" s="0" t="n">
        <v>58.71</v>
      </c>
      <c r="J88" s="0" t="n">
        <v>32.43</v>
      </c>
      <c r="K88" s="0" t="n">
        <v>26.28</v>
      </c>
      <c r="L88" s="0" t="s">
        <v>45</v>
      </c>
    </row>
    <row r="89" customFormat="false" ht="15" hidden="false" customHeight="false" outlineLevel="0" collapsed="false">
      <c r="A89" s="0" t="n">
        <v>535604</v>
      </c>
      <c r="B89" s="0" t="s">
        <v>83</v>
      </c>
      <c r="C89" s="0" t="s">
        <v>19</v>
      </c>
      <c r="D89" s="0" t="s">
        <v>54</v>
      </c>
      <c r="E89" s="0" t="s">
        <v>21</v>
      </c>
      <c r="F89" s="0" t="s">
        <v>211</v>
      </c>
      <c r="G89" s="0" t="n">
        <v>1</v>
      </c>
      <c r="H89" s="0" t="n">
        <v>1002.31</v>
      </c>
      <c r="I89" s="0" t="n">
        <v>1002.31</v>
      </c>
      <c r="J89" s="0" t="n">
        <v>580.16</v>
      </c>
      <c r="K89" s="0" t="n">
        <v>422.15</v>
      </c>
      <c r="L89" s="0" t="s">
        <v>64</v>
      </c>
    </row>
    <row r="90" customFormat="false" ht="15" hidden="false" customHeight="false" outlineLevel="0" collapsed="false">
      <c r="A90" s="0" t="n">
        <v>528821</v>
      </c>
      <c r="B90" s="0" t="s">
        <v>212</v>
      </c>
      <c r="C90" s="0" t="s">
        <v>19</v>
      </c>
      <c r="D90" s="0" t="s">
        <v>54</v>
      </c>
      <c r="E90" s="0" t="s">
        <v>29</v>
      </c>
      <c r="F90" s="0" t="s">
        <v>213</v>
      </c>
      <c r="G90" s="0" t="n">
        <v>1</v>
      </c>
      <c r="H90" s="0" t="n">
        <v>388.24</v>
      </c>
      <c r="I90" s="0" t="n">
        <v>388.24</v>
      </c>
      <c r="J90" s="0" t="n">
        <v>230.41</v>
      </c>
      <c r="K90" s="0" t="n">
        <v>157.83</v>
      </c>
      <c r="L90" s="0" t="s">
        <v>214</v>
      </c>
    </row>
    <row r="91" customFormat="false" ht="15" hidden="false" customHeight="false" outlineLevel="0" collapsed="false">
      <c r="A91" s="0" t="n">
        <v>528995</v>
      </c>
      <c r="B91" s="0" t="s">
        <v>215</v>
      </c>
      <c r="C91" s="0" t="s">
        <v>19</v>
      </c>
      <c r="D91" s="0" t="s">
        <v>25</v>
      </c>
      <c r="E91" s="0" t="s">
        <v>21</v>
      </c>
      <c r="F91" s="0" t="s">
        <v>22</v>
      </c>
      <c r="G91" s="0" t="n">
        <v>1</v>
      </c>
      <c r="H91" s="0" t="n">
        <v>1172.18</v>
      </c>
      <c r="I91" s="0" t="n">
        <v>1172.18</v>
      </c>
      <c r="J91" s="0" t="n">
        <v>698.1</v>
      </c>
      <c r="K91" s="0" t="n">
        <v>474.08</v>
      </c>
      <c r="L91" s="0" t="s">
        <v>214</v>
      </c>
    </row>
    <row r="92" customFormat="false" ht="15" hidden="false" customHeight="false" outlineLevel="0" collapsed="false">
      <c r="A92" s="0" t="n">
        <v>529505</v>
      </c>
      <c r="B92" s="0" t="s">
        <v>216</v>
      </c>
      <c r="C92" s="0" t="s">
        <v>19</v>
      </c>
      <c r="D92" s="0" t="s">
        <v>33</v>
      </c>
      <c r="E92" s="0" t="s">
        <v>55</v>
      </c>
      <c r="F92" s="0" t="s">
        <v>197</v>
      </c>
      <c r="G92" s="0" t="n">
        <v>2</v>
      </c>
      <c r="H92" s="0" t="n">
        <v>75.11</v>
      </c>
      <c r="I92" s="0" t="n">
        <v>150.22</v>
      </c>
      <c r="J92" s="0" t="n">
        <v>85.62</v>
      </c>
      <c r="K92" s="0" t="n">
        <v>64.6</v>
      </c>
      <c r="L92" s="0" t="s">
        <v>214</v>
      </c>
    </row>
    <row r="93" customFormat="false" ht="15" hidden="false" customHeight="false" outlineLevel="0" collapsed="false">
      <c r="A93" s="0" t="n">
        <v>512885</v>
      </c>
      <c r="B93" s="0" t="s">
        <v>188</v>
      </c>
      <c r="C93" s="0" t="s">
        <v>19</v>
      </c>
      <c r="D93" s="0" t="s">
        <v>20</v>
      </c>
      <c r="E93" s="0" t="s">
        <v>50</v>
      </c>
      <c r="F93" s="0" t="s">
        <v>150</v>
      </c>
      <c r="G93" s="0" t="n">
        <v>3</v>
      </c>
      <c r="H93" s="0" t="n">
        <v>232.09</v>
      </c>
      <c r="I93" s="0" t="n">
        <v>696.27</v>
      </c>
      <c r="J93" s="0" t="n">
        <v>413.97</v>
      </c>
      <c r="K93" s="0" t="n">
        <v>282.3</v>
      </c>
      <c r="L93" s="0" t="s">
        <v>190</v>
      </c>
    </row>
    <row r="94" customFormat="false" ht="15" hidden="false" customHeight="false" outlineLevel="0" collapsed="false">
      <c r="A94" s="0" t="n">
        <v>510745</v>
      </c>
      <c r="B94" s="0" t="s">
        <v>217</v>
      </c>
      <c r="C94" s="0" t="s">
        <v>19</v>
      </c>
      <c r="D94" s="0" t="s">
        <v>20</v>
      </c>
      <c r="E94" s="0" t="s">
        <v>29</v>
      </c>
      <c r="F94" s="0" t="s">
        <v>218</v>
      </c>
      <c r="G94" s="0" t="n">
        <v>1</v>
      </c>
      <c r="H94" s="0" t="n">
        <v>749.31</v>
      </c>
      <c r="I94" s="0" t="n">
        <v>749.31</v>
      </c>
      <c r="J94" s="0" t="n">
        <v>447.18</v>
      </c>
      <c r="K94" s="0" t="n">
        <v>302.13</v>
      </c>
      <c r="L94" s="0" t="s">
        <v>130</v>
      </c>
    </row>
    <row r="95" customFormat="false" ht="15" hidden="false" customHeight="false" outlineLevel="0" collapsed="false">
      <c r="A95" s="0" t="n">
        <v>528590</v>
      </c>
      <c r="B95" s="0" t="s">
        <v>219</v>
      </c>
      <c r="C95" s="0" t="s">
        <v>19</v>
      </c>
      <c r="D95" s="0" t="s">
        <v>20</v>
      </c>
      <c r="E95" s="0" t="s">
        <v>21</v>
      </c>
      <c r="F95" s="0" t="s">
        <v>22</v>
      </c>
      <c r="G95" s="0" t="n">
        <v>1</v>
      </c>
      <c r="H95" s="0" t="n">
        <v>87.26</v>
      </c>
      <c r="I95" s="0" t="n">
        <v>87.26</v>
      </c>
      <c r="J95" s="0" t="n">
        <v>51.27</v>
      </c>
      <c r="K95" s="0" t="n">
        <v>35.99</v>
      </c>
      <c r="L95" s="0" t="s">
        <v>214</v>
      </c>
    </row>
    <row r="96" customFormat="false" ht="15" hidden="false" customHeight="false" outlineLevel="0" collapsed="false">
      <c r="A96" s="0" t="n">
        <v>516519</v>
      </c>
      <c r="B96" s="0" t="s">
        <v>220</v>
      </c>
      <c r="C96" s="0" t="s">
        <v>19</v>
      </c>
      <c r="D96" s="0" t="s">
        <v>25</v>
      </c>
      <c r="E96" s="0" t="s">
        <v>21</v>
      </c>
      <c r="F96" s="0" t="s">
        <v>96</v>
      </c>
      <c r="G96" s="0" t="n">
        <v>1</v>
      </c>
      <c r="H96" s="0" t="n">
        <v>971.4</v>
      </c>
      <c r="I96" s="0" t="n">
        <v>971.4</v>
      </c>
      <c r="J96" s="0" t="n">
        <v>561.88</v>
      </c>
      <c r="K96" s="0" t="n">
        <v>409.52</v>
      </c>
      <c r="L96" s="0" t="s">
        <v>31</v>
      </c>
    </row>
    <row r="97" customFormat="false" ht="15" hidden="false" customHeight="false" outlineLevel="0" collapsed="false">
      <c r="A97" s="0" t="n">
        <v>505205</v>
      </c>
      <c r="B97" s="0" t="s">
        <v>221</v>
      </c>
      <c r="C97" s="0" t="s">
        <v>19</v>
      </c>
      <c r="D97" s="0" t="s">
        <v>37</v>
      </c>
      <c r="E97" s="0" t="s">
        <v>47</v>
      </c>
      <c r="F97" s="0" t="s">
        <v>104</v>
      </c>
      <c r="G97" s="0" t="n">
        <v>2</v>
      </c>
      <c r="H97" s="0" t="n">
        <v>441.82</v>
      </c>
      <c r="I97" s="0" t="n">
        <v>883.64</v>
      </c>
      <c r="J97" s="0" t="n">
        <v>511.1</v>
      </c>
      <c r="K97" s="0" t="n">
        <v>372.54</v>
      </c>
      <c r="L97" s="0" t="s">
        <v>222</v>
      </c>
    </row>
    <row r="98" customFormat="false" ht="15" hidden="false" customHeight="false" outlineLevel="0" collapsed="false">
      <c r="A98" s="0" t="n">
        <v>521438</v>
      </c>
      <c r="B98" s="0" t="s">
        <v>223</v>
      </c>
      <c r="C98" s="0" t="s">
        <v>19</v>
      </c>
      <c r="D98" s="0" t="s">
        <v>54</v>
      </c>
      <c r="E98" s="0" t="s">
        <v>55</v>
      </c>
      <c r="F98" s="0" t="s">
        <v>117</v>
      </c>
      <c r="G98" s="0" t="n">
        <v>3</v>
      </c>
      <c r="H98" s="0" t="n">
        <v>150.79</v>
      </c>
      <c r="I98" s="0" t="n">
        <v>452.37</v>
      </c>
      <c r="J98" s="0" t="n">
        <v>250.44</v>
      </c>
      <c r="K98" s="0" t="n">
        <v>201.93</v>
      </c>
      <c r="L98" s="0" t="s">
        <v>23</v>
      </c>
    </row>
    <row r="99" customFormat="false" ht="15" hidden="false" customHeight="false" outlineLevel="0" collapsed="false">
      <c r="A99" s="0" t="n">
        <v>514938</v>
      </c>
      <c r="B99" s="0" t="s">
        <v>224</v>
      </c>
      <c r="C99" s="0" t="s">
        <v>19</v>
      </c>
      <c r="D99" s="0" t="s">
        <v>54</v>
      </c>
      <c r="E99" s="0" t="s">
        <v>55</v>
      </c>
      <c r="F99" s="0" t="s">
        <v>134</v>
      </c>
      <c r="G99" s="0" t="n">
        <v>1</v>
      </c>
      <c r="H99" s="0" t="n">
        <v>75.73</v>
      </c>
      <c r="I99" s="0" t="n">
        <v>75.73</v>
      </c>
      <c r="J99" s="0" t="n">
        <v>43.59</v>
      </c>
      <c r="K99" s="0" t="n">
        <v>32.14</v>
      </c>
      <c r="L99" s="0" t="s">
        <v>97</v>
      </c>
    </row>
    <row r="100" customFormat="false" ht="15" hidden="false" customHeight="false" outlineLevel="0" collapsed="false">
      <c r="A100" s="0" t="n">
        <v>533577</v>
      </c>
      <c r="B100" s="0" t="s">
        <v>225</v>
      </c>
      <c r="C100" s="0" t="s">
        <v>19</v>
      </c>
      <c r="D100" s="0" t="s">
        <v>20</v>
      </c>
      <c r="E100" s="0" t="s">
        <v>59</v>
      </c>
      <c r="F100" s="0" t="s">
        <v>129</v>
      </c>
      <c r="G100" s="0" t="n">
        <v>1</v>
      </c>
      <c r="H100" s="0" t="n">
        <v>121.52</v>
      </c>
      <c r="I100" s="0" t="n">
        <v>121.52</v>
      </c>
      <c r="J100" s="0" t="n">
        <v>71.58</v>
      </c>
      <c r="K100" s="0" t="n">
        <v>49.94</v>
      </c>
      <c r="L100" s="0" t="s">
        <v>70</v>
      </c>
    </row>
    <row r="101" customFormat="false" ht="15" hidden="false" customHeight="false" outlineLevel="0" collapsed="false">
      <c r="A101" s="0" t="n">
        <v>536346</v>
      </c>
      <c r="B101" s="0" t="s">
        <v>226</v>
      </c>
      <c r="C101" s="0" t="s">
        <v>19</v>
      </c>
      <c r="D101" s="0" t="s">
        <v>37</v>
      </c>
      <c r="E101" s="0" t="s">
        <v>21</v>
      </c>
      <c r="F101" s="0" t="s">
        <v>41</v>
      </c>
      <c r="G101" s="0" t="n">
        <v>1</v>
      </c>
      <c r="H101" s="0" t="n">
        <v>156.76</v>
      </c>
      <c r="I101" s="0" t="n">
        <v>156.76</v>
      </c>
      <c r="J101" s="0" t="n">
        <v>88.45</v>
      </c>
      <c r="K101" s="0" t="n">
        <v>68.31</v>
      </c>
      <c r="L101" s="0" t="s">
        <v>64</v>
      </c>
    </row>
    <row r="102" customFormat="false" ht="15" hidden="false" customHeight="false" outlineLevel="0" collapsed="false">
      <c r="A102" s="0" t="n">
        <v>501517</v>
      </c>
      <c r="B102" s="0" t="s">
        <v>98</v>
      </c>
      <c r="C102" s="0" t="s">
        <v>19</v>
      </c>
      <c r="D102" s="0" t="s">
        <v>37</v>
      </c>
      <c r="E102" s="0" t="s">
        <v>29</v>
      </c>
      <c r="F102" s="0" t="s">
        <v>227</v>
      </c>
      <c r="G102" s="0" t="n">
        <v>1</v>
      </c>
      <c r="H102" s="0" t="n">
        <v>414.31</v>
      </c>
      <c r="I102" s="0" t="n">
        <v>414.31</v>
      </c>
      <c r="J102" s="0" t="n">
        <v>243.91</v>
      </c>
      <c r="K102" s="0" t="n">
        <v>170.4</v>
      </c>
      <c r="L102" s="0" t="s">
        <v>61</v>
      </c>
    </row>
    <row r="103" customFormat="false" ht="15" hidden="false" customHeight="false" outlineLevel="0" collapsed="false">
      <c r="A103" s="0" t="n">
        <v>522582</v>
      </c>
      <c r="B103" s="0" t="s">
        <v>228</v>
      </c>
      <c r="C103" s="0" t="s">
        <v>19</v>
      </c>
      <c r="D103" s="0" t="s">
        <v>25</v>
      </c>
      <c r="E103" s="0" t="s">
        <v>21</v>
      </c>
      <c r="F103" s="0" t="s">
        <v>26</v>
      </c>
      <c r="G103" s="0" t="n">
        <v>3</v>
      </c>
      <c r="H103" s="0" t="n">
        <v>848.08</v>
      </c>
      <c r="I103" s="0" t="n">
        <v>2544.24</v>
      </c>
      <c r="J103" s="0" t="n">
        <v>1507.65</v>
      </c>
      <c r="K103" s="0" t="n">
        <v>1036.59</v>
      </c>
      <c r="L103" s="0" t="s">
        <v>76</v>
      </c>
    </row>
    <row r="104" customFormat="false" ht="15" hidden="false" customHeight="false" outlineLevel="0" collapsed="false">
      <c r="A104" s="0" t="n">
        <v>521548</v>
      </c>
      <c r="B104" s="0" t="s">
        <v>229</v>
      </c>
      <c r="C104" s="0" t="s">
        <v>19</v>
      </c>
      <c r="D104" s="0" t="s">
        <v>25</v>
      </c>
      <c r="E104" s="0" t="s">
        <v>21</v>
      </c>
      <c r="F104" s="0" t="s">
        <v>22</v>
      </c>
      <c r="G104" s="0" t="n">
        <v>1</v>
      </c>
      <c r="H104" s="0" t="n">
        <v>1195.2</v>
      </c>
      <c r="I104" s="0" t="n">
        <v>1195.2</v>
      </c>
      <c r="J104" s="0" t="n">
        <v>698.1</v>
      </c>
      <c r="K104" s="0" t="n">
        <v>497.1</v>
      </c>
      <c r="L104" s="0" t="s">
        <v>23</v>
      </c>
    </row>
    <row r="105" customFormat="false" ht="15" hidden="false" customHeight="false" outlineLevel="0" collapsed="false">
      <c r="A105" s="0" t="n">
        <v>514013</v>
      </c>
      <c r="B105" s="0" t="s">
        <v>230</v>
      </c>
      <c r="C105" s="0" t="s">
        <v>19</v>
      </c>
      <c r="D105" s="0" t="s">
        <v>33</v>
      </c>
      <c r="E105" s="0" t="s">
        <v>21</v>
      </c>
      <c r="F105" s="0" t="s">
        <v>231</v>
      </c>
      <c r="G105" s="0" t="n">
        <v>1</v>
      </c>
      <c r="H105" s="0" t="n">
        <v>1024.92</v>
      </c>
      <c r="I105" s="0" t="n">
        <v>1024.92</v>
      </c>
      <c r="J105" s="0" t="n">
        <v>584.26</v>
      </c>
      <c r="K105" s="0" t="n">
        <v>440.66</v>
      </c>
      <c r="L105" s="0" t="s">
        <v>35</v>
      </c>
    </row>
    <row r="106" customFormat="false" ht="15" hidden="false" customHeight="false" outlineLevel="0" collapsed="false">
      <c r="A106" s="0" t="n">
        <v>525510</v>
      </c>
      <c r="B106" s="0" t="s">
        <v>125</v>
      </c>
      <c r="C106" s="0" t="s">
        <v>19</v>
      </c>
      <c r="D106" s="0" t="s">
        <v>25</v>
      </c>
      <c r="E106" s="0" t="s">
        <v>50</v>
      </c>
      <c r="F106" s="0" t="s">
        <v>202</v>
      </c>
      <c r="G106" s="0" t="n">
        <v>3</v>
      </c>
      <c r="H106" s="0" t="n">
        <v>262.68</v>
      </c>
      <c r="I106" s="0" t="n">
        <v>788.04</v>
      </c>
      <c r="J106" s="0" t="n">
        <v>467.34</v>
      </c>
      <c r="K106" s="0" t="n">
        <v>320.7</v>
      </c>
      <c r="L106" s="0" t="s">
        <v>127</v>
      </c>
    </row>
    <row r="107" customFormat="false" ht="15" hidden="false" customHeight="false" outlineLevel="0" collapsed="false">
      <c r="A107" s="0" t="n">
        <v>524821</v>
      </c>
      <c r="B107" s="0" t="s">
        <v>232</v>
      </c>
      <c r="C107" s="0" t="s">
        <v>19</v>
      </c>
      <c r="D107" s="0" t="s">
        <v>25</v>
      </c>
      <c r="E107" s="0" t="s">
        <v>47</v>
      </c>
      <c r="F107" s="0" t="s">
        <v>233</v>
      </c>
      <c r="G107" s="0" t="n">
        <v>1</v>
      </c>
      <c r="H107" s="0" t="n">
        <v>588.36</v>
      </c>
      <c r="I107" s="0" t="n">
        <v>588.36</v>
      </c>
      <c r="J107" s="0" t="n">
        <v>338.38</v>
      </c>
      <c r="K107" s="0" t="n">
        <v>249.98</v>
      </c>
      <c r="L107" s="0" t="s">
        <v>127</v>
      </c>
    </row>
    <row r="108" customFormat="false" ht="15" hidden="false" customHeight="false" outlineLevel="0" collapsed="false">
      <c r="A108" s="0" t="n">
        <v>504319</v>
      </c>
      <c r="B108" s="0" t="s">
        <v>234</v>
      </c>
      <c r="C108" s="0" t="s">
        <v>19</v>
      </c>
      <c r="D108" s="0" t="s">
        <v>33</v>
      </c>
      <c r="E108" s="0" t="s">
        <v>59</v>
      </c>
      <c r="F108" s="0" t="s">
        <v>151</v>
      </c>
      <c r="G108" s="0" t="n">
        <v>1</v>
      </c>
      <c r="H108" s="0" t="n">
        <v>194.87</v>
      </c>
      <c r="I108" s="0" t="n">
        <v>194.87</v>
      </c>
      <c r="J108" s="0" t="n">
        <v>112.77</v>
      </c>
      <c r="K108" s="0" t="n">
        <v>82.1</v>
      </c>
      <c r="L108" s="0" t="s">
        <v>67</v>
      </c>
    </row>
    <row r="109" customFormat="false" ht="15" hidden="false" customHeight="false" outlineLevel="0" collapsed="false">
      <c r="A109" s="0" t="n">
        <v>507855</v>
      </c>
      <c r="B109" s="0" t="s">
        <v>235</v>
      </c>
      <c r="C109" s="0" t="s">
        <v>19</v>
      </c>
      <c r="D109" s="0" t="s">
        <v>33</v>
      </c>
      <c r="E109" s="0" t="s">
        <v>29</v>
      </c>
      <c r="F109" s="0" t="s">
        <v>206</v>
      </c>
      <c r="G109" s="0" t="n">
        <v>1</v>
      </c>
      <c r="H109" s="0" t="n">
        <v>120.88</v>
      </c>
      <c r="I109" s="0" t="n">
        <v>120.88</v>
      </c>
      <c r="J109" s="0" t="n">
        <v>66.54</v>
      </c>
      <c r="K109" s="0" t="n">
        <v>54.34</v>
      </c>
      <c r="L109" s="0" t="s">
        <v>39</v>
      </c>
    </row>
    <row r="110" customFormat="false" ht="15" hidden="false" customHeight="false" outlineLevel="0" collapsed="false">
      <c r="A110" s="0" t="n">
        <v>524228</v>
      </c>
      <c r="B110" s="0" t="s">
        <v>236</v>
      </c>
      <c r="C110" s="0" t="s">
        <v>19</v>
      </c>
      <c r="D110" s="0" t="s">
        <v>37</v>
      </c>
      <c r="E110" s="0" t="s">
        <v>21</v>
      </c>
      <c r="F110" s="0" t="s">
        <v>72</v>
      </c>
      <c r="G110" s="0" t="n">
        <v>2</v>
      </c>
      <c r="H110" s="0" t="n">
        <v>1198.58</v>
      </c>
      <c r="I110" s="0" t="n">
        <v>2397.16</v>
      </c>
      <c r="J110" s="0" t="n">
        <v>1339.3</v>
      </c>
      <c r="K110" s="0" t="n">
        <v>1057.86</v>
      </c>
      <c r="L110" s="0" t="s">
        <v>107</v>
      </c>
    </row>
    <row r="111" customFormat="false" ht="15" hidden="false" customHeight="false" outlineLevel="0" collapsed="false">
      <c r="A111" s="0" t="n">
        <v>508550</v>
      </c>
      <c r="B111" s="0" t="s">
        <v>237</v>
      </c>
      <c r="C111" s="0" t="s">
        <v>19</v>
      </c>
      <c r="D111" s="0" t="s">
        <v>33</v>
      </c>
      <c r="E111" s="0" t="s">
        <v>47</v>
      </c>
      <c r="F111" s="0" t="s">
        <v>238</v>
      </c>
      <c r="G111" s="0" t="n">
        <v>3</v>
      </c>
      <c r="H111" s="0" t="n">
        <v>56.95</v>
      </c>
      <c r="I111" s="0" t="n">
        <v>170.85</v>
      </c>
      <c r="J111" s="0" t="n">
        <v>98.97</v>
      </c>
      <c r="K111" s="0" t="n">
        <v>71.88</v>
      </c>
      <c r="L111" s="0" t="s">
        <v>39</v>
      </c>
    </row>
    <row r="112" customFormat="false" ht="15" hidden="false" customHeight="false" outlineLevel="0" collapsed="false">
      <c r="A112" s="0" t="n">
        <v>521170</v>
      </c>
      <c r="B112" s="0" t="s">
        <v>239</v>
      </c>
      <c r="C112" s="0" t="s">
        <v>19</v>
      </c>
      <c r="D112" s="0" t="s">
        <v>54</v>
      </c>
      <c r="E112" s="0" t="s">
        <v>59</v>
      </c>
      <c r="F112" s="0" t="s">
        <v>240</v>
      </c>
      <c r="G112" s="0" t="n">
        <v>1</v>
      </c>
      <c r="H112" s="0" t="n">
        <v>221.49</v>
      </c>
      <c r="I112" s="0" t="n">
        <v>221.49</v>
      </c>
      <c r="J112" s="0" t="n">
        <v>124.16</v>
      </c>
      <c r="K112" s="0" t="n">
        <v>97.33</v>
      </c>
      <c r="L112" s="0" t="s">
        <v>23</v>
      </c>
    </row>
    <row r="113" customFormat="false" ht="15" hidden="false" customHeight="false" outlineLevel="0" collapsed="false">
      <c r="A113" s="0" t="n">
        <v>512250</v>
      </c>
      <c r="B113" s="0" t="s">
        <v>241</v>
      </c>
      <c r="C113" s="0" t="s">
        <v>19</v>
      </c>
      <c r="D113" s="0" t="s">
        <v>20</v>
      </c>
      <c r="E113" s="0" t="s">
        <v>55</v>
      </c>
      <c r="F113" s="0" t="s">
        <v>242</v>
      </c>
      <c r="G113" s="0" t="n">
        <v>1</v>
      </c>
      <c r="H113" s="0" t="n">
        <v>45.94</v>
      </c>
      <c r="I113" s="0" t="n">
        <v>45.94</v>
      </c>
      <c r="J113" s="0" t="n">
        <v>27.29</v>
      </c>
      <c r="K113" s="0" t="n">
        <v>18.65</v>
      </c>
      <c r="L113" s="0" t="s">
        <v>243</v>
      </c>
    </row>
    <row r="114" customFormat="false" ht="15" hidden="false" customHeight="false" outlineLevel="0" collapsed="false">
      <c r="A114" s="0" t="n">
        <v>515740</v>
      </c>
      <c r="B114" s="0" t="s">
        <v>244</v>
      </c>
      <c r="C114" s="0" t="s">
        <v>19</v>
      </c>
      <c r="D114" s="0" t="s">
        <v>54</v>
      </c>
      <c r="E114" s="0" t="s">
        <v>29</v>
      </c>
      <c r="F114" s="0" t="s">
        <v>245</v>
      </c>
      <c r="G114" s="0" t="n">
        <v>1</v>
      </c>
      <c r="H114" s="0" t="n">
        <v>631.36</v>
      </c>
      <c r="I114" s="0" t="n">
        <v>631.36</v>
      </c>
      <c r="J114" s="0" t="n">
        <v>352.23</v>
      </c>
      <c r="K114" s="0" t="n">
        <v>279.13</v>
      </c>
      <c r="L114" s="0" t="s">
        <v>132</v>
      </c>
    </row>
    <row r="115" customFormat="false" ht="15" hidden="false" customHeight="false" outlineLevel="0" collapsed="false">
      <c r="A115" s="0" t="n">
        <v>518824</v>
      </c>
      <c r="B115" s="0" t="s">
        <v>246</v>
      </c>
      <c r="C115" s="0" t="s">
        <v>19</v>
      </c>
      <c r="D115" s="0" t="s">
        <v>33</v>
      </c>
      <c r="E115" s="0" t="s">
        <v>21</v>
      </c>
      <c r="F115" s="0" t="s">
        <v>247</v>
      </c>
      <c r="G115" s="0" t="n">
        <v>1</v>
      </c>
      <c r="H115" s="0" t="n">
        <v>260.41</v>
      </c>
      <c r="I115" s="0" t="n">
        <v>260.41</v>
      </c>
      <c r="J115" s="0" t="n">
        <v>147.09</v>
      </c>
      <c r="K115" s="0" t="n">
        <v>113.32</v>
      </c>
      <c r="L115" s="0" t="s">
        <v>198</v>
      </c>
    </row>
    <row r="116" customFormat="false" ht="15" hidden="false" customHeight="false" outlineLevel="0" collapsed="false">
      <c r="A116" s="0" t="n">
        <v>521789</v>
      </c>
      <c r="B116" s="0" t="s">
        <v>248</v>
      </c>
      <c r="C116" s="0" t="s">
        <v>19</v>
      </c>
      <c r="D116" s="0" t="s">
        <v>37</v>
      </c>
      <c r="E116" s="0" t="s">
        <v>21</v>
      </c>
      <c r="F116" s="0" t="s">
        <v>41</v>
      </c>
      <c r="G116" s="0" t="n">
        <v>1</v>
      </c>
      <c r="H116" s="0" t="n">
        <v>160.77</v>
      </c>
      <c r="I116" s="0" t="n">
        <v>160.77</v>
      </c>
      <c r="J116" s="0" t="n">
        <v>88.45</v>
      </c>
      <c r="K116" s="0" t="n">
        <v>72.32</v>
      </c>
      <c r="L116" s="0" t="s">
        <v>76</v>
      </c>
    </row>
    <row r="117" customFormat="false" ht="15" hidden="false" customHeight="false" outlineLevel="0" collapsed="false">
      <c r="A117" s="0" t="n">
        <v>533200</v>
      </c>
      <c r="B117" s="0" t="s">
        <v>249</v>
      </c>
      <c r="C117" s="0" t="s">
        <v>19</v>
      </c>
      <c r="D117" s="0" t="s">
        <v>25</v>
      </c>
      <c r="E117" s="0" t="s">
        <v>50</v>
      </c>
      <c r="F117" s="0" t="s">
        <v>250</v>
      </c>
      <c r="G117" s="0" t="n">
        <v>1</v>
      </c>
      <c r="H117" s="0" t="n">
        <v>168.26</v>
      </c>
      <c r="I117" s="0" t="n">
        <v>168.26</v>
      </c>
      <c r="J117" s="0" t="n">
        <v>96.7</v>
      </c>
      <c r="K117" s="0" t="n">
        <v>71.56</v>
      </c>
      <c r="L117" s="0" t="s">
        <v>27</v>
      </c>
    </row>
    <row r="118" customFormat="false" ht="15" hidden="false" customHeight="false" outlineLevel="0" collapsed="false">
      <c r="A118" s="0" t="n">
        <v>504729</v>
      </c>
      <c r="B118" s="0" t="s">
        <v>251</v>
      </c>
      <c r="C118" s="0" t="s">
        <v>19</v>
      </c>
      <c r="D118" s="0" t="s">
        <v>25</v>
      </c>
      <c r="E118" s="0" t="s">
        <v>50</v>
      </c>
      <c r="F118" s="0" t="s">
        <v>120</v>
      </c>
      <c r="G118" s="0" t="n">
        <v>1</v>
      </c>
      <c r="H118" s="0" t="n">
        <v>83.93</v>
      </c>
      <c r="I118" s="0" t="n">
        <v>83.93</v>
      </c>
      <c r="J118" s="0" t="n">
        <v>48.97</v>
      </c>
      <c r="K118" s="0" t="n">
        <v>34.96</v>
      </c>
      <c r="L118" s="0" t="s">
        <v>252</v>
      </c>
    </row>
    <row r="119" customFormat="false" ht="15" hidden="false" customHeight="false" outlineLevel="0" collapsed="false">
      <c r="A119" s="0" t="n">
        <v>536256</v>
      </c>
      <c r="B119" s="0" t="s">
        <v>253</v>
      </c>
      <c r="C119" s="0" t="s">
        <v>19</v>
      </c>
      <c r="D119" s="0" t="s">
        <v>54</v>
      </c>
      <c r="E119" s="0" t="s">
        <v>21</v>
      </c>
      <c r="F119" s="0" t="s">
        <v>254</v>
      </c>
      <c r="G119" s="0" t="n">
        <v>3</v>
      </c>
      <c r="H119" s="0" t="n">
        <v>443.68</v>
      </c>
      <c r="I119" s="0" t="n">
        <v>1331.04</v>
      </c>
      <c r="J119" s="0" t="n">
        <v>780.57</v>
      </c>
      <c r="K119" s="0" t="n">
        <v>550.47</v>
      </c>
      <c r="L119" s="0" t="s">
        <v>64</v>
      </c>
    </row>
    <row r="120" customFormat="false" ht="15" hidden="false" customHeight="false" outlineLevel="0" collapsed="false">
      <c r="A120" s="0" t="n">
        <v>525640</v>
      </c>
      <c r="B120" s="0" t="s">
        <v>255</v>
      </c>
      <c r="C120" s="0" t="s">
        <v>19</v>
      </c>
      <c r="D120" s="0" t="s">
        <v>25</v>
      </c>
      <c r="E120" s="0" t="s">
        <v>55</v>
      </c>
      <c r="F120" s="0" t="s">
        <v>256</v>
      </c>
      <c r="G120" s="0" t="n">
        <v>1</v>
      </c>
      <c r="H120" s="0" t="n">
        <v>110.98</v>
      </c>
      <c r="I120" s="0" t="n">
        <v>110.98</v>
      </c>
      <c r="J120" s="0" t="n">
        <v>63.61</v>
      </c>
      <c r="K120" s="0" t="n">
        <v>47.37</v>
      </c>
      <c r="L120" s="0" t="s">
        <v>42</v>
      </c>
    </row>
    <row r="121" customFormat="false" ht="15" hidden="false" customHeight="false" outlineLevel="0" collapsed="false">
      <c r="A121" s="0" t="n">
        <v>516369</v>
      </c>
      <c r="B121" s="0" t="s">
        <v>257</v>
      </c>
      <c r="C121" s="0" t="s">
        <v>19</v>
      </c>
      <c r="D121" s="0" t="s">
        <v>37</v>
      </c>
      <c r="E121" s="0" t="s">
        <v>21</v>
      </c>
      <c r="F121" s="0" t="s">
        <v>254</v>
      </c>
      <c r="G121" s="0" t="n">
        <v>1</v>
      </c>
      <c r="H121" s="0" t="n">
        <v>455.64</v>
      </c>
      <c r="I121" s="0" t="n">
        <v>455.64</v>
      </c>
      <c r="J121" s="0" t="n">
        <v>260.19</v>
      </c>
      <c r="K121" s="0" t="n">
        <v>195.45</v>
      </c>
      <c r="L121" s="0" t="s">
        <v>31</v>
      </c>
    </row>
    <row r="122" customFormat="false" ht="15" hidden="false" customHeight="false" outlineLevel="0" collapsed="false">
      <c r="A122" s="0" t="n">
        <v>507767</v>
      </c>
      <c r="B122" s="0" t="s">
        <v>121</v>
      </c>
      <c r="C122" s="0" t="s">
        <v>19</v>
      </c>
      <c r="D122" s="0" t="s">
        <v>33</v>
      </c>
      <c r="E122" s="0" t="s">
        <v>47</v>
      </c>
      <c r="F122" s="0" t="s">
        <v>258</v>
      </c>
      <c r="G122" s="0" t="n">
        <v>1</v>
      </c>
      <c r="H122" s="0" t="n">
        <v>618.71</v>
      </c>
      <c r="I122" s="0" t="n">
        <v>618.71</v>
      </c>
      <c r="J122" s="0" t="n">
        <v>350.47</v>
      </c>
      <c r="K122" s="0" t="n">
        <v>268.24</v>
      </c>
      <c r="L122" s="0" t="s">
        <v>39</v>
      </c>
    </row>
    <row r="123" customFormat="false" ht="15" hidden="false" customHeight="false" outlineLevel="0" collapsed="false">
      <c r="A123" s="0" t="n">
        <v>536663</v>
      </c>
      <c r="B123" s="0" t="s">
        <v>259</v>
      </c>
      <c r="C123" s="0" t="s">
        <v>19</v>
      </c>
      <c r="D123" s="0" t="s">
        <v>54</v>
      </c>
      <c r="E123" s="0" t="s">
        <v>55</v>
      </c>
      <c r="F123" s="0" t="s">
        <v>204</v>
      </c>
      <c r="G123" s="0" t="n">
        <v>3</v>
      </c>
      <c r="H123" s="0" t="n">
        <v>183.72</v>
      </c>
      <c r="I123" s="0" t="n">
        <v>551.16</v>
      </c>
      <c r="J123" s="0" t="n">
        <v>320.16</v>
      </c>
      <c r="K123" s="0" t="n">
        <v>231</v>
      </c>
      <c r="L123" s="0" t="s">
        <v>64</v>
      </c>
    </row>
    <row r="124" customFormat="false" ht="15" hidden="false" customHeight="false" outlineLevel="0" collapsed="false">
      <c r="A124" s="0" t="n">
        <v>503093</v>
      </c>
      <c r="B124" s="0" t="s">
        <v>260</v>
      </c>
      <c r="C124" s="0" t="s">
        <v>19</v>
      </c>
      <c r="D124" s="0" t="s">
        <v>37</v>
      </c>
      <c r="E124" s="0" t="s">
        <v>29</v>
      </c>
      <c r="F124" s="0" t="s">
        <v>261</v>
      </c>
      <c r="G124" s="0" t="n">
        <v>2</v>
      </c>
      <c r="H124" s="0" t="n">
        <v>418.71</v>
      </c>
      <c r="I124" s="0" t="n">
        <v>837.42</v>
      </c>
      <c r="J124" s="0" t="n">
        <v>482.04</v>
      </c>
      <c r="K124" s="0" t="n">
        <v>355.38</v>
      </c>
      <c r="L124" s="0" t="s">
        <v>262</v>
      </c>
    </row>
    <row r="125" customFormat="false" ht="15" hidden="false" customHeight="false" outlineLevel="0" collapsed="false">
      <c r="A125" s="0" t="n">
        <v>522999</v>
      </c>
      <c r="B125" s="0" t="s">
        <v>91</v>
      </c>
      <c r="C125" s="0" t="s">
        <v>19</v>
      </c>
      <c r="D125" s="0" t="s">
        <v>33</v>
      </c>
      <c r="E125" s="0" t="s">
        <v>59</v>
      </c>
      <c r="F125" s="0" t="s">
        <v>263</v>
      </c>
      <c r="G125" s="0" t="n">
        <v>1</v>
      </c>
      <c r="H125" s="0" t="n">
        <v>20.36</v>
      </c>
      <c r="I125" s="0" t="n">
        <v>20.36</v>
      </c>
      <c r="J125" s="0" t="n">
        <v>12.14</v>
      </c>
      <c r="K125" s="0" t="n">
        <v>8.22</v>
      </c>
      <c r="L125" s="0" t="s">
        <v>76</v>
      </c>
    </row>
    <row r="126" customFormat="false" ht="15" hidden="false" customHeight="false" outlineLevel="0" collapsed="false">
      <c r="A126" s="0" t="n">
        <v>508487</v>
      </c>
      <c r="B126" s="0" t="s">
        <v>123</v>
      </c>
      <c r="C126" s="0" t="s">
        <v>19</v>
      </c>
      <c r="D126" s="0" t="s">
        <v>37</v>
      </c>
      <c r="E126" s="0" t="s">
        <v>50</v>
      </c>
      <c r="F126" s="0" t="s">
        <v>120</v>
      </c>
      <c r="G126" s="0" t="n">
        <v>1</v>
      </c>
      <c r="H126" s="0" t="n">
        <v>87.64</v>
      </c>
      <c r="I126" s="0" t="n">
        <v>87.64</v>
      </c>
      <c r="J126" s="0" t="n">
        <v>48.97</v>
      </c>
      <c r="K126" s="0" t="n">
        <v>38.67</v>
      </c>
      <c r="L126" s="0" t="s">
        <v>39</v>
      </c>
    </row>
    <row r="127" customFormat="false" ht="15" hidden="false" customHeight="false" outlineLevel="0" collapsed="false">
      <c r="A127" s="0" t="n">
        <v>527856</v>
      </c>
      <c r="B127" s="0" t="s">
        <v>264</v>
      </c>
      <c r="C127" s="0" t="s">
        <v>19</v>
      </c>
      <c r="D127" s="0" t="s">
        <v>54</v>
      </c>
      <c r="E127" s="0" t="s">
        <v>29</v>
      </c>
      <c r="F127" s="0" t="s">
        <v>265</v>
      </c>
      <c r="G127" s="0" t="n">
        <v>3</v>
      </c>
      <c r="H127" s="0" t="n">
        <v>733.61</v>
      </c>
      <c r="I127" s="0" t="n">
        <v>2200.83</v>
      </c>
      <c r="J127" s="0" t="n">
        <v>1223.19</v>
      </c>
      <c r="K127" s="0" t="n">
        <v>977.64</v>
      </c>
      <c r="L127" s="0" t="s">
        <v>52</v>
      </c>
    </row>
    <row r="128" customFormat="false" ht="15" hidden="false" customHeight="false" outlineLevel="0" collapsed="false">
      <c r="A128" s="0" t="n">
        <v>521617</v>
      </c>
      <c r="B128" s="0" t="s">
        <v>266</v>
      </c>
      <c r="C128" s="0" t="s">
        <v>19</v>
      </c>
      <c r="D128" s="0" t="s">
        <v>25</v>
      </c>
      <c r="E128" s="0" t="s">
        <v>55</v>
      </c>
      <c r="F128" s="0" t="s">
        <v>56</v>
      </c>
      <c r="G128" s="0" t="n">
        <v>1</v>
      </c>
      <c r="H128" s="0" t="n">
        <v>107.43</v>
      </c>
      <c r="I128" s="0" t="n">
        <v>107.43</v>
      </c>
      <c r="J128" s="0" t="n">
        <v>59.39</v>
      </c>
      <c r="K128" s="0" t="n">
        <v>48.04</v>
      </c>
      <c r="L128" s="0" t="s">
        <v>23</v>
      </c>
    </row>
    <row r="129" customFormat="false" ht="15" hidden="false" customHeight="false" outlineLevel="0" collapsed="false">
      <c r="A129" s="0" t="n">
        <v>508349</v>
      </c>
      <c r="B129" s="0" t="s">
        <v>267</v>
      </c>
      <c r="C129" s="0" t="s">
        <v>19</v>
      </c>
      <c r="D129" s="0" t="s">
        <v>37</v>
      </c>
      <c r="E129" s="0" t="s">
        <v>50</v>
      </c>
      <c r="F129" s="0" t="s">
        <v>268</v>
      </c>
      <c r="G129" s="0" t="n">
        <v>2</v>
      </c>
      <c r="H129" s="0" t="n">
        <v>255.33</v>
      </c>
      <c r="I129" s="0" t="n">
        <v>510.66</v>
      </c>
      <c r="J129" s="0" t="n">
        <v>287.12</v>
      </c>
      <c r="K129" s="0" t="n">
        <v>223.54</v>
      </c>
      <c r="L129" s="0" t="s">
        <v>39</v>
      </c>
    </row>
    <row r="130" customFormat="false" ht="15" hidden="false" customHeight="false" outlineLevel="0" collapsed="false">
      <c r="A130" s="0" t="n">
        <v>536561</v>
      </c>
      <c r="B130" s="0" t="s">
        <v>269</v>
      </c>
      <c r="C130" s="0" t="s">
        <v>19</v>
      </c>
      <c r="D130" s="0" t="s">
        <v>33</v>
      </c>
      <c r="E130" s="0" t="s">
        <v>29</v>
      </c>
      <c r="F130" s="0" t="s">
        <v>270</v>
      </c>
      <c r="G130" s="0" t="n">
        <v>4</v>
      </c>
      <c r="H130" s="0" t="n">
        <v>267.95</v>
      </c>
      <c r="I130" s="0" t="n">
        <v>1071.8</v>
      </c>
      <c r="J130" s="0" t="n">
        <v>594.36</v>
      </c>
      <c r="K130" s="0" t="n">
        <v>477.44</v>
      </c>
      <c r="L130" s="0" t="s">
        <v>64</v>
      </c>
    </row>
    <row r="131" customFormat="false" ht="15" hidden="false" customHeight="false" outlineLevel="0" collapsed="false">
      <c r="A131" s="0" t="n">
        <v>527248</v>
      </c>
      <c r="B131" s="0" t="s">
        <v>271</v>
      </c>
      <c r="C131" s="0" t="s">
        <v>19</v>
      </c>
      <c r="D131" s="0" t="s">
        <v>33</v>
      </c>
      <c r="E131" s="0" t="s">
        <v>55</v>
      </c>
      <c r="F131" s="0" t="s">
        <v>242</v>
      </c>
      <c r="G131" s="0" t="n">
        <v>4</v>
      </c>
      <c r="H131" s="0" t="n">
        <v>45.93</v>
      </c>
      <c r="I131" s="0" t="n">
        <v>183.72</v>
      </c>
      <c r="J131" s="0" t="n">
        <v>109.16</v>
      </c>
      <c r="K131" s="0" t="n">
        <v>74.56</v>
      </c>
      <c r="L131" s="0" t="s">
        <v>88</v>
      </c>
    </row>
    <row r="132" customFormat="false" ht="15" hidden="false" customHeight="false" outlineLevel="0" collapsed="false">
      <c r="A132" s="0" t="n">
        <v>503932</v>
      </c>
      <c r="B132" s="0" t="s">
        <v>272</v>
      </c>
      <c r="C132" s="0" t="s">
        <v>19</v>
      </c>
      <c r="D132" s="0" t="s">
        <v>25</v>
      </c>
      <c r="E132" s="0" t="s">
        <v>50</v>
      </c>
      <c r="F132" s="0" t="s">
        <v>273</v>
      </c>
      <c r="G132" s="0" t="n">
        <v>3</v>
      </c>
      <c r="H132" s="0" t="n">
        <v>246.17</v>
      </c>
      <c r="I132" s="0" t="n">
        <v>738.51</v>
      </c>
      <c r="J132" s="0" t="n">
        <v>416.19</v>
      </c>
      <c r="K132" s="0" t="n">
        <v>322.32</v>
      </c>
      <c r="L132" s="0" t="s">
        <v>67</v>
      </c>
    </row>
    <row r="133" customFormat="false" ht="15" hidden="false" customHeight="false" outlineLevel="0" collapsed="false">
      <c r="A133" s="0" t="n">
        <v>525598</v>
      </c>
      <c r="B133" s="0" t="s">
        <v>274</v>
      </c>
      <c r="C133" s="0" t="s">
        <v>19</v>
      </c>
      <c r="D133" s="0" t="s">
        <v>37</v>
      </c>
      <c r="E133" s="0" t="s">
        <v>21</v>
      </c>
      <c r="F133" s="0" t="s">
        <v>41</v>
      </c>
      <c r="G133" s="0" t="n">
        <v>1</v>
      </c>
      <c r="H133" s="0" t="n">
        <v>152.45</v>
      </c>
      <c r="I133" s="0" t="n">
        <v>152.45</v>
      </c>
      <c r="J133" s="0" t="n">
        <v>88.45</v>
      </c>
      <c r="K133" s="0" t="n">
        <v>64</v>
      </c>
      <c r="L133" s="0" t="s">
        <v>42</v>
      </c>
    </row>
    <row r="134" customFormat="false" ht="15" hidden="false" customHeight="false" outlineLevel="0" collapsed="false">
      <c r="A134" s="0" t="n">
        <v>500246</v>
      </c>
      <c r="B134" s="0" t="s">
        <v>275</v>
      </c>
      <c r="C134" s="0" t="s">
        <v>19</v>
      </c>
      <c r="D134" s="0" t="s">
        <v>20</v>
      </c>
      <c r="E134" s="0" t="s">
        <v>50</v>
      </c>
      <c r="F134" s="0" t="s">
        <v>194</v>
      </c>
      <c r="G134" s="0" t="n">
        <v>1</v>
      </c>
      <c r="H134" s="0" t="n">
        <v>334.09</v>
      </c>
      <c r="I134" s="0" t="n">
        <v>334.09</v>
      </c>
      <c r="J134" s="0" t="n">
        <v>187.71</v>
      </c>
      <c r="K134" s="0" t="n">
        <v>146.38</v>
      </c>
      <c r="L134" s="0" t="s">
        <v>82</v>
      </c>
    </row>
    <row r="135" customFormat="false" ht="15" hidden="false" customHeight="false" outlineLevel="0" collapsed="false">
      <c r="A135" s="0" t="n">
        <v>501257</v>
      </c>
      <c r="B135" s="0" t="s">
        <v>276</v>
      </c>
      <c r="C135" s="0" t="s">
        <v>19</v>
      </c>
      <c r="D135" s="0" t="s">
        <v>25</v>
      </c>
      <c r="E135" s="0" t="s">
        <v>29</v>
      </c>
      <c r="F135" s="0" t="s">
        <v>218</v>
      </c>
      <c r="G135" s="0" t="n">
        <v>1</v>
      </c>
      <c r="H135" s="0" t="n">
        <v>752.69</v>
      </c>
      <c r="I135" s="0" t="n">
        <v>752.69</v>
      </c>
      <c r="J135" s="0" t="n">
        <v>447.18</v>
      </c>
      <c r="K135" s="0" t="n">
        <v>305.51</v>
      </c>
      <c r="L135" s="0" t="s">
        <v>277</v>
      </c>
    </row>
    <row r="136" customFormat="false" ht="15" hidden="false" customHeight="false" outlineLevel="0" collapsed="false">
      <c r="A136" s="0" t="n">
        <v>530617</v>
      </c>
      <c r="B136" s="0" t="s">
        <v>278</v>
      </c>
      <c r="C136" s="0" t="s">
        <v>19</v>
      </c>
      <c r="D136" s="0" t="s">
        <v>20</v>
      </c>
      <c r="E136" s="0" t="s">
        <v>59</v>
      </c>
      <c r="F136" s="0" t="s">
        <v>279</v>
      </c>
      <c r="G136" s="0" t="n">
        <v>1</v>
      </c>
      <c r="H136" s="0" t="n">
        <v>112.26</v>
      </c>
      <c r="I136" s="0" t="n">
        <v>112.26</v>
      </c>
      <c r="J136" s="0" t="n">
        <v>65.54</v>
      </c>
      <c r="K136" s="0" t="n">
        <v>46.72</v>
      </c>
      <c r="L136" s="0" t="s">
        <v>57</v>
      </c>
    </row>
    <row r="137" customFormat="false" ht="15" hidden="false" customHeight="false" outlineLevel="0" collapsed="false">
      <c r="A137" s="0" t="n">
        <v>504939</v>
      </c>
      <c r="B137" s="0" t="s">
        <v>280</v>
      </c>
      <c r="C137" s="0" t="s">
        <v>19</v>
      </c>
      <c r="D137" s="0" t="s">
        <v>54</v>
      </c>
      <c r="E137" s="0" t="s">
        <v>21</v>
      </c>
      <c r="F137" s="0" t="s">
        <v>281</v>
      </c>
      <c r="G137" s="0" t="n">
        <v>1</v>
      </c>
      <c r="H137" s="0" t="n">
        <v>831.88</v>
      </c>
      <c r="I137" s="0" t="n">
        <v>831.88</v>
      </c>
      <c r="J137" s="0" t="n">
        <v>462.31</v>
      </c>
      <c r="K137" s="0" t="n">
        <v>369.57</v>
      </c>
      <c r="L137" s="0" t="s">
        <v>252</v>
      </c>
    </row>
    <row r="138" customFormat="false" ht="15" hidden="false" customHeight="false" outlineLevel="0" collapsed="false">
      <c r="A138" s="0" t="n">
        <v>514864</v>
      </c>
      <c r="B138" s="0" t="s">
        <v>282</v>
      </c>
      <c r="C138" s="0" t="s">
        <v>19</v>
      </c>
      <c r="D138" s="0" t="s">
        <v>33</v>
      </c>
      <c r="E138" s="0" t="s">
        <v>21</v>
      </c>
      <c r="F138" s="0" t="s">
        <v>283</v>
      </c>
      <c r="G138" s="0" t="n">
        <v>1</v>
      </c>
      <c r="H138" s="0" t="n">
        <v>831.4</v>
      </c>
      <c r="I138" s="0" t="n">
        <v>831.4</v>
      </c>
      <c r="J138" s="0" t="n">
        <v>489.48</v>
      </c>
      <c r="K138" s="0" t="n">
        <v>341.92</v>
      </c>
      <c r="L138" s="0" t="s">
        <v>97</v>
      </c>
    </row>
    <row r="139" customFormat="false" ht="15" hidden="false" customHeight="false" outlineLevel="0" collapsed="false">
      <c r="A139" s="0" t="n">
        <v>529316</v>
      </c>
      <c r="B139" s="0" t="s">
        <v>284</v>
      </c>
      <c r="C139" s="0" t="s">
        <v>19</v>
      </c>
      <c r="D139" s="0" t="s">
        <v>20</v>
      </c>
      <c r="E139" s="0" t="s">
        <v>47</v>
      </c>
      <c r="F139" s="0" t="s">
        <v>285</v>
      </c>
      <c r="G139" s="0" t="n">
        <v>1</v>
      </c>
      <c r="H139" s="0" t="n">
        <v>546.56</v>
      </c>
      <c r="I139" s="0" t="n">
        <v>546.56</v>
      </c>
      <c r="J139" s="0" t="n">
        <v>320.85</v>
      </c>
      <c r="K139" s="0" t="n">
        <v>225.71</v>
      </c>
      <c r="L139" s="0" t="s">
        <v>214</v>
      </c>
    </row>
    <row r="140" customFormat="false" ht="15" hidden="false" customHeight="false" outlineLevel="0" collapsed="false">
      <c r="A140" s="0" t="n">
        <v>511684</v>
      </c>
      <c r="B140" s="0" t="s">
        <v>286</v>
      </c>
      <c r="C140" s="0" t="s">
        <v>19</v>
      </c>
      <c r="D140" s="0" t="s">
        <v>33</v>
      </c>
      <c r="E140" s="0" t="s">
        <v>21</v>
      </c>
      <c r="F140" s="0" t="s">
        <v>287</v>
      </c>
      <c r="G140" s="0" t="n">
        <v>1</v>
      </c>
      <c r="H140" s="0" t="n">
        <v>269.92</v>
      </c>
      <c r="I140" s="0" t="n">
        <v>269.92</v>
      </c>
      <c r="J140" s="0" t="n">
        <v>155.57</v>
      </c>
      <c r="K140" s="0" t="n">
        <v>114.35</v>
      </c>
      <c r="L140" s="0" t="s">
        <v>73</v>
      </c>
    </row>
    <row r="141" customFormat="false" ht="15" hidden="false" customHeight="false" outlineLevel="0" collapsed="false">
      <c r="A141" s="0" t="n">
        <v>505254</v>
      </c>
      <c r="B141" s="0" t="s">
        <v>288</v>
      </c>
      <c r="C141" s="0" t="s">
        <v>19</v>
      </c>
      <c r="D141" s="0" t="s">
        <v>54</v>
      </c>
      <c r="E141" s="0" t="s">
        <v>59</v>
      </c>
      <c r="F141" s="0" t="s">
        <v>142</v>
      </c>
      <c r="G141" s="0" t="n">
        <v>1</v>
      </c>
      <c r="H141" s="0" t="n">
        <v>121.7</v>
      </c>
      <c r="I141" s="0" t="n">
        <v>121.7</v>
      </c>
      <c r="J141" s="0" t="n">
        <v>71.65</v>
      </c>
      <c r="K141" s="0" t="n">
        <v>50.05</v>
      </c>
      <c r="L141" s="0" t="s">
        <v>222</v>
      </c>
    </row>
    <row r="142" customFormat="false" ht="15" hidden="false" customHeight="false" outlineLevel="0" collapsed="false">
      <c r="A142" s="0" t="n">
        <v>530064</v>
      </c>
      <c r="B142" s="0" t="s">
        <v>289</v>
      </c>
      <c r="C142" s="0" t="s">
        <v>19</v>
      </c>
      <c r="D142" s="0" t="s">
        <v>37</v>
      </c>
      <c r="E142" s="0" t="s">
        <v>29</v>
      </c>
      <c r="F142" s="0" t="s">
        <v>270</v>
      </c>
      <c r="G142" s="0" t="n">
        <v>1</v>
      </c>
      <c r="H142" s="0" t="n">
        <v>267.96</v>
      </c>
      <c r="I142" s="0" t="n">
        <v>267.96</v>
      </c>
      <c r="J142" s="0" t="n">
        <v>148.59</v>
      </c>
      <c r="K142" s="0" t="n">
        <v>119.37</v>
      </c>
      <c r="L142" s="0" t="s">
        <v>290</v>
      </c>
    </row>
    <row r="143" customFormat="false" ht="15" hidden="false" customHeight="false" outlineLevel="0" collapsed="false">
      <c r="A143" s="0" t="n">
        <v>523844</v>
      </c>
      <c r="B143" s="0" t="s">
        <v>291</v>
      </c>
      <c r="C143" s="0" t="s">
        <v>19</v>
      </c>
      <c r="D143" s="0" t="s">
        <v>33</v>
      </c>
      <c r="E143" s="0" t="s">
        <v>21</v>
      </c>
      <c r="F143" s="0" t="s">
        <v>292</v>
      </c>
      <c r="G143" s="0" t="n">
        <v>4</v>
      </c>
      <c r="H143" s="0" t="n">
        <v>124.74</v>
      </c>
      <c r="I143" s="0" t="n">
        <v>498.96</v>
      </c>
      <c r="J143" s="0" t="n">
        <v>281.12</v>
      </c>
      <c r="K143" s="0" t="n">
        <v>217.84</v>
      </c>
      <c r="L143" s="0" t="s">
        <v>76</v>
      </c>
    </row>
    <row r="144" customFormat="false" ht="15" hidden="false" customHeight="false" outlineLevel="0" collapsed="false">
      <c r="A144" s="0" t="n">
        <v>524263</v>
      </c>
      <c r="B144" s="0" t="s">
        <v>293</v>
      </c>
      <c r="C144" s="0" t="s">
        <v>19</v>
      </c>
      <c r="D144" s="0" t="s">
        <v>25</v>
      </c>
      <c r="E144" s="0" t="s">
        <v>50</v>
      </c>
      <c r="F144" s="0" t="s">
        <v>294</v>
      </c>
      <c r="G144" s="0" t="n">
        <v>1</v>
      </c>
      <c r="H144" s="0" t="n">
        <v>294.15</v>
      </c>
      <c r="I144" s="0" t="n">
        <v>294.15</v>
      </c>
      <c r="J144" s="0" t="n">
        <v>171.7</v>
      </c>
      <c r="K144" s="0" t="n">
        <v>122.45</v>
      </c>
      <c r="L144" s="0" t="s">
        <v>107</v>
      </c>
    </row>
    <row r="145" customFormat="false" ht="15" hidden="false" customHeight="false" outlineLevel="0" collapsed="false">
      <c r="A145" s="0" t="n">
        <v>504447</v>
      </c>
      <c r="B145" s="0" t="s">
        <v>295</v>
      </c>
      <c r="C145" s="0" t="s">
        <v>19</v>
      </c>
      <c r="D145" s="0" t="s">
        <v>25</v>
      </c>
      <c r="E145" s="0" t="s">
        <v>21</v>
      </c>
      <c r="F145" s="0" t="s">
        <v>81</v>
      </c>
      <c r="G145" s="0" t="n">
        <v>1</v>
      </c>
      <c r="H145" s="0" t="n">
        <v>252.48</v>
      </c>
      <c r="I145" s="0" t="n">
        <v>252.48</v>
      </c>
      <c r="J145" s="0" t="n">
        <v>149.26</v>
      </c>
      <c r="K145" s="0" t="n">
        <v>103.22</v>
      </c>
      <c r="L145" s="0" t="s">
        <v>67</v>
      </c>
    </row>
    <row r="146" customFormat="false" ht="15" hidden="false" customHeight="false" outlineLevel="0" collapsed="false">
      <c r="A146" s="0" t="n">
        <v>512170</v>
      </c>
      <c r="B146" s="0" t="s">
        <v>296</v>
      </c>
      <c r="C146" s="0" t="s">
        <v>19</v>
      </c>
      <c r="D146" s="0" t="s">
        <v>54</v>
      </c>
      <c r="E146" s="0" t="s">
        <v>21</v>
      </c>
      <c r="F146" s="0" t="s">
        <v>292</v>
      </c>
      <c r="G146" s="0" t="n">
        <v>1</v>
      </c>
      <c r="H146" s="0" t="n">
        <v>120.95</v>
      </c>
      <c r="I146" s="0" t="n">
        <v>120.95</v>
      </c>
      <c r="J146" s="0" t="n">
        <v>70.28</v>
      </c>
      <c r="K146" s="0" t="n">
        <v>50.67</v>
      </c>
      <c r="L146" s="0" t="s">
        <v>243</v>
      </c>
    </row>
    <row r="147" customFormat="false" ht="15" hidden="false" customHeight="false" outlineLevel="0" collapsed="false">
      <c r="A147" s="0" t="n">
        <v>508672</v>
      </c>
      <c r="B147" s="0" t="s">
        <v>297</v>
      </c>
      <c r="C147" s="0" t="s">
        <v>19</v>
      </c>
      <c r="D147" s="0" t="s">
        <v>25</v>
      </c>
      <c r="E147" s="0" t="s">
        <v>21</v>
      </c>
      <c r="F147" s="0" t="s">
        <v>298</v>
      </c>
      <c r="G147" s="0" t="n">
        <v>1</v>
      </c>
      <c r="H147" s="0" t="n">
        <v>929.66</v>
      </c>
      <c r="I147" s="0" t="n">
        <v>929.66</v>
      </c>
      <c r="J147" s="0" t="n">
        <v>524.53</v>
      </c>
      <c r="K147" s="0" t="n">
        <v>405.13</v>
      </c>
      <c r="L147" s="0" t="s">
        <v>39</v>
      </c>
    </row>
    <row r="148" customFormat="false" ht="15" hidden="false" customHeight="false" outlineLevel="0" collapsed="false">
      <c r="A148" s="0" t="n">
        <v>513054</v>
      </c>
      <c r="B148" s="0" t="s">
        <v>299</v>
      </c>
      <c r="C148" s="0" t="s">
        <v>19</v>
      </c>
      <c r="D148" s="0" t="s">
        <v>25</v>
      </c>
      <c r="E148" s="0" t="s">
        <v>21</v>
      </c>
      <c r="F148" s="0" t="s">
        <v>96</v>
      </c>
      <c r="G148" s="0" t="n">
        <v>1</v>
      </c>
      <c r="H148" s="0" t="n">
        <v>1020.57</v>
      </c>
      <c r="I148" s="0" t="n">
        <v>1020.57</v>
      </c>
      <c r="J148" s="0" t="n">
        <v>561.88</v>
      </c>
      <c r="K148" s="0" t="n">
        <v>458.69</v>
      </c>
      <c r="L148" s="0" t="s">
        <v>190</v>
      </c>
    </row>
    <row r="149" customFormat="false" ht="15" hidden="false" customHeight="false" outlineLevel="0" collapsed="false">
      <c r="A149" s="0" t="n">
        <v>536665</v>
      </c>
      <c r="B149" s="0" t="s">
        <v>300</v>
      </c>
      <c r="C149" s="0" t="s">
        <v>19</v>
      </c>
      <c r="D149" s="0" t="s">
        <v>37</v>
      </c>
      <c r="E149" s="0" t="s">
        <v>50</v>
      </c>
      <c r="F149" s="0" t="s">
        <v>301</v>
      </c>
      <c r="G149" s="0" t="n">
        <v>3</v>
      </c>
      <c r="H149" s="0" t="n">
        <v>109.46</v>
      </c>
      <c r="I149" s="0" t="n">
        <v>328.38</v>
      </c>
      <c r="J149" s="0" t="n">
        <v>183.09</v>
      </c>
      <c r="K149" s="0" t="n">
        <v>145.29</v>
      </c>
      <c r="L149" s="0" t="s">
        <v>64</v>
      </c>
    </row>
    <row r="150" customFormat="false" ht="15" hidden="false" customHeight="false" outlineLevel="0" collapsed="false">
      <c r="A150" s="0" t="n">
        <v>525714</v>
      </c>
      <c r="B150" s="0" t="s">
        <v>302</v>
      </c>
      <c r="C150" s="0" t="s">
        <v>19</v>
      </c>
      <c r="D150" s="0" t="s">
        <v>33</v>
      </c>
      <c r="E150" s="0" t="s">
        <v>50</v>
      </c>
      <c r="F150" s="0" t="s">
        <v>268</v>
      </c>
      <c r="G150" s="0" t="n">
        <v>1</v>
      </c>
      <c r="H150" s="0" t="n">
        <v>245.71</v>
      </c>
      <c r="I150" s="0" t="n">
        <v>245.71</v>
      </c>
      <c r="J150" s="0" t="n">
        <v>143.56</v>
      </c>
      <c r="K150" s="0" t="n">
        <v>102.15</v>
      </c>
      <c r="L150" s="0" t="s">
        <v>42</v>
      </c>
    </row>
    <row r="151" customFormat="false" ht="15" hidden="false" customHeight="false" outlineLevel="0" collapsed="false">
      <c r="A151" s="0" t="n">
        <v>532087</v>
      </c>
      <c r="B151" s="0" t="s">
        <v>303</v>
      </c>
      <c r="C151" s="0" t="s">
        <v>19</v>
      </c>
      <c r="D151" s="0" t="s">
        <v>33</v>
      </c>
      <c r="E151" s="0" t="s">
        <v>47</v>
      </c>
      <c r="F151" s="0" t="s">
        <v>233</v>
      </c>
      <c r="G151" s="0" t="n">
        <v>1</v>
      </c>
      <c r="H151" s="0" t="n">
        <v>575.95</v>
      </c>
      <c r="I151" s="0" t="n">
        <v>575.95</v>
      </c>
      <c r="J151" s="0" t="n">
        <v>338.38</v>
      </c>
      <c r="K151" s="0" t="n">
        <v>237.57</v>
      </c>
      <c r="L151" s="0" t="s">
        <v>45</v>
      </c>
    </row>
    <row r="152" customFormat="false" ht="15" hidden="false" customHeight="false" outlineLevel="0" collapsed="false">
      <c r="A152" s="0" t="n">
        <v>526812</v>
      </c>
      <c r="B152" s="0" t="s">
        <v>304</v>
      </c>
      <c r="C152" s="0" t="s">
        <v>19</v>
      </c>
      <c r="D152" s="0" t="s">
        <v>37</v>
      </c>
      <c r="E152" s="0" t="s">
        <v>21</v>
      </c>
      <c r="F152" s="0" t="s">
        <v>305</v>
      </c>
      <c r="G152" s="0" t="n">
        <v>2</v>
      </c>
      <c r="H152" s="0" t="n">
        <v>309.32</v>
      </c>
      <c r="I152" s="0" t="n">
        <v>618.64</v>
      </c>
      <c r="J152" s="0" t="n">
        <v>346.36</v>
      </c>
      <c r="K152" s="0" t="n">
        <v>272.28</v>
      </c>
      <c r="L152" s="0" t="s">
        <v>88</v>
      </c>
    </row>
    <row r="153" customFormat="false" ht="15" hidden="false" customHeight="false" outlineLevel="0" collapsed="false">
      <c r="A153" s="0" t="n">
        <v>504603</v>
      </c>
      <c r="B153" s="0" t="s">
        <v>306</v>
      </c>
      <c r="C153" s="0" t="s">
        <v>19</v>
      </c>
      <c r="D153" s="0" t="s">
        <v>33</v>
      </c>
      <c r="E153" s="0" t="s">
        <v>29</v>
      </c>
      <c r="F153" s="0" t="s">
        <v>307</v>
      </c>
      <c r="G153" s="0" t="n">
        <v>2</v>
      </c>
      <c r="H153" s="0" t="n">
        <v>726.53</v>
      </c>
      <c r="I153" s="0" t="n">
        <v>1453.06</v>
      </c>
      <c r="J153" s="0" t="n">
        <v>862.34</v>
      </c>
      <c r="K153" s="0" t="n">
        <v>590.72</v>
      </c>
      <c r="L153" s="0" t="s">
        <v>252</v>
      </c>
    </row>
    <row r="154" customFormat="false" ht="15" hidden="false" customHeight="false" outlineLevel="0" collapsed="false">
      <c r="A154" s="0" t="n">
        <v>535745</v>
      </c>
      <c r="B154" s="0" t="s">
        <v>308</v>
      </c>
      <c r="C154" s="0" t="s">
        <v>19</v>
      </c>
      <c r="D154" s="0" t="s">
        <v>33</v>
      </c>
      <c r="E154" s="0" t="s">
        <v>21</v>
      </c>
      <c r="F154" s="0" t="s">
        <v>41</v>
      </c>
      <c r="G154" s="0" t="n">
        <v>2</v>
      </c>
      <c r="H154" s="0" t="n">
        <v>153.11</v>
      </c>
      <c r="I154" s="0" t="n">
        <v>306.22</v>
      </c>
      <c r="J154" s="0" t="n">
        <v>176.9</v>
      </c>
      <c r="K154" s="0" t="n">
        <v>129.32</v>
      </c>
      <c r="L154" s="0" t="s">
        <v>64</v>
      </c>
    </row>
    <row r="155" customFormat="false" ht="15" hidden="false" customHeight="false" outlineLevel="0" collapsed="false">
      <c r="A155" s="0" t="n">
        <v>537647</v>
      </c>
      <c r="B155" s="0" t="s">
        <v>309</v>
      </c>
      <c r="C155" s="0" t="s">
        <v>19</v>
      </c>
      <c r="D155" s="0" t="s">
        <v>37</v>
      </c>
      <c r="E155" s="0" t="s">
        <v>50</v>
      </c>
      <c r="F155" s="0" t="s">
        <v>310</v>
      </c>
      <c r="G155" s="0" t="n">
        <v>1</v>
      </c>
      <c r="H155" s="0" t="n">
        <v>84.9</v>
      </c>
      <c r="I155" s="0" t="n">
        <v>84.9</v>
      </c>
      <c r="J155" s="0" t="n">
        <v>49.86</v>
      </c>
      <c r="K155" s="0" t="n">
        <v>35.04</v>
      </c>
      <c r="L155" s="0" t="s">
        <v>64</v>
      </c>
    </row>
    <row r="156" customFormat="false" ht="15" hidden="false" customHeight="false" outlineLevel="0" collapsed="false">
      <c r="A156" s="0" t="n">
        <v>503437</v>
      </c>
      <c r="B156" s="0" t="s">
        <v>311</v>
      </c>
      <c r="C156" s="0" t="s">
        <v>19</v>
      </c>
      <c r="D156" s="0" t="s">
        <v>20</v>
      </c>
      <c r="E156" s="0" t="s">
        <v>55</v>
      </c>
      <c r="F156" s="0" t="s">
        <v>111</v>
      </c>
      <c r="G156" s="0" t="n">
        <v>1</v>
      </c>
      <c r="H156" s="0" t="n">
        <v>170.44</v>
      </c>
      <c r="I156" s="0" t="n">
        <v>170.44</v>
      </c>
      <c r="J156" s="0" t="n">
        <v>94.24</v>
      </c>
      <c r="K156" s="0" t="n">
        <v>76.2</v>
      </c>
      <c r="L156" s="0" t="s">
        <v>262</v>
      </c>
    </row>
    <row r="157" customFormat="false" ht="15" hidden="false" customHeight="false" outlineLevel="0" collapsed="false">
      <c r="A157" s="0" t="n">
        <v>503223</v>
      </c>
      <c r="B157" s="0" t="s">
        <v>312</v>
      </c>
      <c r="C157" s="0" t="s">
        <v>19</v>
      </c>
      <c r="D157" s="0" t="s">
        <v>54</v>
      </c>
      <c r="E157" s="0" t="s">
        <v>21</v>
      </c>
      <c r="F157" s="0" t="s">
        <v>26</v>
      </c>
      <c r="G157" s="0" t="n">
        <v>4</v>
      </c>
      <c r="H157" s="0" t="n">
        <v>852.89</v>
      </c>
      <c r="I157" s="0" t="n">
        <v>3411.56</v>
      </c>
      <c r="J157" s="0" t="n">
        <v>2010.2</v>
      </c>
      <c r="K157" s="0" t="n">
        <v>1401.36</v>
      </c>
      <c r="L157" s="0" t="s">
        <v>262</v>
      </c>
    </row>
    <row r="158" customFormat="false" ht="15" hidden="false" customHeight="false" outlineLevel="0" collapsed="false">
      <c r="A158" s="0" t="n">
        <v>513271</v>
      </c>
      <c r="B158" s="0" t="s">
        <v>313</v>
      </c>
      <c r="C158" s="0" t="s">
        <v>19</v>
      </c>
      <c r="D158" s="0" t="s">
        <v>54</v>
      </c>
      <c r="E158" s="0" t="s">
        <v>50</v>
      </c>
      <c r="F158" s="0" t="s">
        <v>314</v>
      </c>
      <c r="G158" s="0" t="n">
        <v>1</v>
      </c>
      <c r="H158" s="0" t="n">
        <v>224.09</v>
      </c>
      <c r="I158" s="0" t="n">
        <v>224.09</v>
      </c>
      <c r="J158" s="0" t="n">
        <v>124.12</v>
      </c>
      <c r="K158" s="0" t="n">
        <v>99.97</v>
      </c>
      <c r="L158" s="0" t="s">
        <v>190</v>
      </c>
    </row>
    <row r="159" customFormat="false" ht="15" hidden="false" customHeight="false" outlineLevel="0" collapsed="false">
      <c r="A159" s="0" t="n">
        <v>502221</v>
      </c>
      <c r="B159" s="0" t="s">
        <v>182</v>
      </c>
      <c r="C159" s="0" t="s">
        <v>19</v>
      </c>
      <c r="D159" s="0" t="s">
        <v>54</v>
      </c>
      <c r="E159" s="0" t="s">
        <v>21</v>
      </c>
      <c r="F159" s="0" t="s">
        <v>22</v>
      </c>
      <c r="G159" s="0" t="n">
        <v>1</v>
      </c>
      <c r="H159" s="0" t="n">
        <v>92.12</v>
      </c>
      <c r="I159" s="0" t="n">
        <v>92.12</v>
      </c>
      <c r="J159" s="0" t="n">
        <v>51.27</v>
      </c>
      <c r="K159" s="0" t="n">
        <v>40.85</v>
      </c>
      <c r="L159" s="0" t="s">
        <v>102</v>
      </c>
    </row>
    <row r="160" customFormat="false" ht="15" hidden="false" customHeight="false" outlineLevel="0" collapsed="false">
      <c r="A160" s="0" t="n">
        <v>531047</v>
      </c>
      <c r="B160" s="0" t="s">
        <v>315</v>
      </c>
      <c r="C160" s="0" t="s">
        <v>19</v>
      </c>
      <c r="D160" s="0" t="s">
        <v>20</v>
      </c>
      <c r="E160" s="0" t="s">
        <v>55</v>
      </c>
      <c r="F160" s="0" t="s">
        <v>204</v>
      </c>
      <c r="G160" s="0" t="n">
        <v>1</v>
      </c>
      <c r="H160" s="0" t="n">
        <v>191.11</v>
      </c>
      <c r="I160" s="0" t="n">
        <v>191.11</v>
      </c>
      <c r="J160" s="0" t="n">
        <v>106.72</v>
      </c>
      <c r="K160" s="0" t="n">
        <v>84.39</v>
      </c>
      <c r="L160" s="0" t="s">
        <v>57</v>
      </c>
    </row>
    <row r="161" customFormat="false" ht="15" hidden="false" customHeight="false" outlineLevel="0" collapsed="false">
      <c r="A161" s="0" t="n">
        <v>513331</v>
      </c>
      <c r="B161" s="0" t="s">
        <v>316</v>
      </c>
      <c r="C161" s="0" t="s">
        <v>19</v>
      </c>
      <c r="D161" s="0" t="s">
        <v>25</v>
      </c>
      <c r="E161" s="0" t="s">
        <v>21</v>
      </c>
      <c r="F161" s="0" t="s">
        <v>298</v>
      </c>
      <c r="G161" s="0" t="n">
        <v>1</v>
      </c>
      <c r="H161" s="0" t="n">
        <v>903.82</v>
      </c>
      <c r="I161" s="0" t="n">
        <v>903.82</v>
      </c>
      <c r="J161" s="0" t="n">
        <v>524.53</v>
      </c>
      <c r="K161" s="0" t="n">
        <v>379.29</v>
      </c>
      <c r="L161" s="0" t="s">
        <v>190</v>
      </c>
    </row>
    <row r="162" customFormat="false" ht="15" hidden="false" customHeight="false" outlineLevel="0" collapsed="false">
      <c r="A162" s="0" t="n">
        <v>507707</v>
      </c>
      <c r="B162" s="0" t="s">
        <v>317</v>
      </c>
      <c r="C162" s="0" t="s">
        <v>19</v>
      </c>
      <c r="D162" s="0" t="s">
        <v>33</v>
      </c>
      <c r="E162" s="0" t="s">
        <v>55</v>
      </c>
      <c r="F162" s="0" t="s">
        <v>87</v>
      </c>
      <c r="G162" s="0" t="n">
        <v>1</v>
      </c>
      <c r="H162" s="0" t="n">
        <v>60.03</v>
      </c>
      <c r="I162" s="0" t="n">
        <v>60.03</v>
      </c>
      <c r="J162" s="0" t="n">
        <v>35.13</v>
      </c>
      <c r="K162" s="0" t="n">
        <v>24.9</v>
      </c>
      <c r="L162" s="0" t="s">
        <v>39</v>
      </c>
    </row>
    <row r="163" customFormat="false" ht="15" hidden="false" customHeight="false" outlineLevel="0" collapsed="false">
      <c r="A163" s="0" t="n">
        <v>509200</v>
      </c>
      <c r="B163" s="0" t="s">
        <v>318</v>
      </c>
      <c r="C163" s="0" t="s">
        <v>19</v>
      </c>
      <c r="D163" s="0" t="s">
        <v>37</v>
      </c>
      <c r="E163" s="0" t="s">
        <v>59</v>
      </c>
      <c r="F163" s="0" t="s">
        <v>319</v>
      </c>
      <c r="G163" s="0" t="n">
        <v>2</v>
      </c>
      <c r="H163" s="0" t="n">
        <v>77.08</v>
      </c>
      <c r="I163" s="0" t="n">
        <v>154.16</v>
      </c>
      <c r="J163" s="0" t="n">
        <v>87.82</v>
      </c>
      <c r="K163" s="0" t="n">
        <v>66.34</v>
      </c>
      <c r="L163" s="0" t="s">
        <v>39</v>
      </c>
    </row>
    <row r="164" customFormat="false" ht="15" hidden="false" customHeight="false" outlineLevel="0" collapsed="false">
      <c r="A164" s="0" t="n">
        <v>503958</v>
      </c>
      <c r="B164" s="0" t="s">
        <v>320</v>
      </c>
      <c r="C164" s="0" t="s">
        <v>19</v>
      </c>
      <c r="D164" s="0" t="s">
        <v>33</v>
      </c>
      <c r="E164" s="0" t="s">
        <v>55</v>
      </c>
      <c r="F164" s="0" t="s">
        <v>321</v>
      </c>
      <c r="G164" s="0" t="n">
        <v>4</v>
      </c>
      <c r="H164" s="0" t="n">
        <v>27.99</v>
      </c>
      <c r="I164" s="0" t="n">
        <v>111.96</v>
      </c>
      <c r="J164" s="0" t="n">
        <v>63.32</v>
      </c>
      <c r="K164" s="0" t="n">
        <v>48.64</v>
      </c>
      <c r="L164" s="0" t="s">
        <v>67</v>
      </c>
    </row>
    <row r="165" customFormat="false" ht="15" hidden="false" customHeight="false" outlineLevel="0" collapsed="false">
      <c r="A165" s="0" t="n">
        <v>501067</v>
      </c>
      <c r="B165" s="0" t="s">
        <v>322</v>
      </c>
      <c r="C165" s="0" t="s">
        <v>19</v>
      </c>
      <c r="D165" s="0" t="s">
        <v>20</v>
      </c>
      <c r="E165" s="0" t="s">
        <v>59</v>
      </c>
      <c r="F165" s="0" t="s">
        <v>323</v>
      </c>
      <c r="G165" s="0" t="n">
        <v>1</v>
      </c>
      <c r="H165" s="0" t="n">
        <v>74.37</v>
      </c>
      <c r="I165" s="0" t="n">
        <v>74.37</v>
      </c>
      <c r="J165" s="0" t="n">
        <v>42.27</v>
      </c>
      <c r="K165" s="0" t="n">
        <v>32.1</v>
      </c>
      <c r="L165" s="0" t="s">
        <v>277</v>
      </c>
    </row>
    <row r="166" customFormat="false" ht="15" hidden="false" customHeight="false" outlineLevel="0" collapsed="false">
      <c r="A166" s="0" t="n">
        <v>532683</v>
      </c>
      <c r="B166" s="0" t="s">
        <v>324</v>
      </c>
      <c r="C166" s="0" t="s">
        <v>19</v>
      </c>
      <c r="D166" s="0" t="s">
        <v>33</v>
      </c>
      <c r="E166" s="0" t="s">
        <v>21</v>
      </c>
      <c r="F166" s="0" t="s">
        <v>211</v>
      </c>
      <c r="G166" s="0" t="n">
        <v>1</v>
      </c>
      <c r="H166" s="0" t="n">
        <v>970.89</v>
      </c>
      <c r="I166" s="0" t="n">
        <v>970.89</v>
      </c>
      <c r="J166" s="0" t="n">
        <v>580.16</v>
      </c>
      <c r="K166" s="0" t="n">
        <v>390.73</v>
      </c>
      <c r="L166" s="0" t="s">
        <v>27</v>
      </c>
    </row>
    <row r="167" customFormat="false" ht="15" hidden="false" customHeight="false" outlineLevel="0" collapsed="false">
      <c r="A167" s="0" t="n">
        <v>523935</v>
      </c>
      <c r="B167" s="0" t="s">
        <v>325</v>
      </c>
      <c r="C167" s="0" t="s">
        <v>19</v>
      </c>
      <c r="D167" s="0" t="s">
        <v>54</v>
      </c>
      <c r="E167" s="0" t="s">
        <v>50</v>
      </c>
      <c r="F167" s="0" t="s">
        <v>294</v>
      </c>
      <c r="G167" s="0" t="n">
        <v>2</v>
      </c>
      <c r="H167" s="0" t="n">
        <v>106.07</v>
      </c>
      <c r="I167" s="0" t="n">
        <v>212.14</v>
      </c>
      <c r="J167" s="0" t="n">
        <v>120.62</v>
      </c>
      <c r="K167" s="0" t="n">
        <v>91.52</v>
      </c>
      <c r="L167" s="0" t="s">
        <v>107</v>
      </c>
    </row>
    <row r="168" customFormat="false" ht="15" hidden="false" customHeight="false" outlineLevel="0" collapsed="false">
      <c r="A168" s="0" t="n">
        <v>525436</v>
      </c>
      <c r="B168" s="0" t="s">
        <v>326</v>
      </c>
      <c r="C168" s="0" t="s">
        <v>19</v>
      </c>
      <c r="D168" s="0" t="s">
        <v>54</v>
      </c>
      <c r="E168" s="0" t="s">
        <v>47</v>
      </c>
      <c r="F168" s="0" t="s">
        <v>327</v>
      </c>
      <c r="G168" s="0" t="n">
        <v>2</v>
      </c>
      <c r="H168" s="0" t="n">
        <v>146.67</v>
      </c>
      <c r="I168" s="0" t="n">
        <v>293.34</v>
      </c>
      <c r="J168" s="0" t="n">
        <v>173.96</v>
      </c>
      <c r="K168" s="0" t="n">
        <v>119.38</v>
      </c>
      <c r="L168" s="0" t="s">
        <v>127</v>
      </c>
    </row>
    <row r="169" customFormat="false" ht="15" hidden="false" customHeight="false" outlineLevel="0" collapsed="false">
      <c r="A169" s="0" t="n">
        <v>507180</v>
      </c>
      <c r="B169" s="0" t="s">
        <v>328</v>
      </c>
      <c r="C169" s="0" t="s">
        <v>19</v>
      </c>
      <c r="D169" s="0" t="s">
        <v>25</v>
      </c>
      <c r="E169" s="0" t="s">
        <v>55</v>
      </c>
      <c r="F169" s="0" t="s">
        <v>134</v>
      </c>
      <c r="G169" s="0" t="n">
        <v>1</v>
      </c>
      <c r="H169" s="0" t="n">
        <v>75.55</v>
      </c>
      <c r="I169" s="0" t="n">
        <v>75.55</v>
      </c>
      <c r="J169" s="0" t="n">
        <v>43.59</v>
      </c>
      <c r="K169" s="0" t="n">
        <v>31.96</v>
      </c>
      <c r="L169" s="0" t="s">
        <v>154</v>
      </c>
    </row>
    <row r="170" customFormat="false" ht="15" hidden="false" customHeight="false" outlineLevel="0" collapsed="false">
      <c r="A170" s="0" t="n">
        <v>536703</v>
      </c>
      <c r="B170" s="0" t="s">
        <v>300</v>
      </c>
      <c r="C170" s="0" t="s">
        <v>19</v>
      </c>
      <c r="D170" s="0" t="s">
        <v>54</v>
      </c>
      <c r="E170" s="0" t="s">
        <v>29</v>
      </c>
      <c r="F170" s="0" t="s">
        <v>38</v>
      </c>
      <c r="G170" s="0" t="n">
        <v>2</v>
      </c>
      <c r="H170" s="0" t="n">
        <v>139.83</v>
      </c>
      <c r="I170" s="0" t="n">
        <v>279.66</v>
      </c>
      <c r="J170" s="0" t="n">
        <v>156.22</v>
      </c>
      <c r="K170" s="0" t="n">
        <v>123.44</v>
      </c>
      <c r="L170" s="0" t="s">
        <v>64</v>
      </c>
    </row>
    <row r="171" customFormat="false" ht="15" hidden="false" customHeight="false" outlineLevel="0" collapsed="false">
      <c r="A171" s="0" t="n">
        <v>508437</v>
      </c>
      <c r="B171" s="0" t="s">
        <v>123</v>
      </c>
      <c r="C171" s="0" t="s">
        <v>19</v>
      </c>
      <c r="D171" s="0" t="s">
        <v>33</v>
      </c>
      <c r="E171" s="0" t="s">
        <v>50</v>
      </c>
      <c r="F171" s="0" t="s">
        <v>147</v>
      </c>
      <c r="G171" s="0" t="n">
        <v>1</v>
      </c>
      <c r="H171" s="0" t="n">
        <v>101.53</v>
      </c>
      <c r="I171" s="0" t="n">
        <v>101.53</v>
      </c>
      <c r="J171" s="0" t="n">
        <v>57.72</v>
      </c>
      <c r="K171" s="0" t="n">
        <v>43.81</v>
      </c>
      <c r="L171" s="0" t="s">
        <v>39</v>
      </c>
    </row>
    <row r="172" customFormat="false" ht="15" hidden="false" customHeight="false" outlineLevel="0" collapsed="false">
      <c r="A172" s="0" t="n">
        <v>509432</v>
      </c>
      <c r="B172" s="0" t="s">
        <v>128</v>
      </c>
      <c r="C172" s="0" t="s">
        <v>19</v>
      </c>
      <c r="D172" s="0" t="s">
        <v>37</v>
      </c>
      <c r="E172" s="0" t="s">
        <v>21</v>
      </c>
      <c r="F172" s="0" t="s">
        <v>329</v>
      </c>
      <c r="G172" s="0" t="n">
        <v>1</v>
      </c>
      <c r="H172" s="0" t="n">
        <v>1211.13</v>
      </c>
      <c r="I172" s="0" t="n">
        <v>1211.13</v>
      </c>
      <c r="J172" s="0" t="n">
        <v>715.29</v>
      </c>
      <c r="K172" s="0" t="n">
        <v>495.84</v>
      </c>
      <c r="L172" s="0" t="s">
        <v>130</v>
      </c>
    </row>
    <row r="173" customFormat="false" ht="15" hidden="false" customHeight="false" outlineLevel="0" collapsed="false">
      <c r="A173" s="0" t="n">
        <v>527987</v>
      </c>
      <c r="B173" s="0" t="s">
        <v>330</v>
      </c>
      <c r="C173" s="0" t="s">
        <v>19</v>
      </c>
      <c r="D173" s="0" t="s">
        <v>33</v>
      </c>
      <c r="E173" s="0" t="s">
        <v>50</v>
      </c>
      <c r="F173" s="0" t="s">
        <v>331</v>
      </c>
      <c r="G173" s="0" t="n">
        <v>4</v>
      </c>
      <c r="H173" s="0" t="n">
        <v>99.91</v>
      </c>
      <c r="I173" s="0" t="n">
        <v>399.64</v>
      </c>
      <c r="J173" s="0" t="n">
        <v>233</v>
      </c>
      <c r="K173" s="0" t="n">
        <v>166.64</v>
      </c>
      <c r="L173" s="0" t="s">
        <v>52</v>
      </c>
    </row>
    <row r="174" customFormat="false" ht="15" hidden="false" customHeight="false" outlineLevel="0" collapsed="false">
      <c r="A174" s="0" t="n">
        <v>515150</v>
      </c>
      <c r="B174" s="0" t="s">
        <v>332</v>
      </c>
      <c r="C174" s="0" t="s">
        <v>19</v>
      </c>
      <c r="D174" s="0" t="s">
        <v>33</v>
      </c>
      <c r="E174" s="0" t="s">
        <v>21</v>
      </c>
      <c r="F174" s="0" t="s">
        <v>283</v>
      </c>
      <c r="G174" s="0" t="n">
        <v>1</v>
      </c>
      <c r="H174" s="0" t="n">
        <v>825.69</v>
      </c>
      <c r="I174" s="0" t="n">
        <v>825.69</v>
      </c>
      <c r="J174" s="0" t="n">
        <v>489.48</v>
      </c>
      <c r="K174" s="0" t="n">
        <v>336.21</v>
      </c>
      <c r="L174" s="0" t="s">
        <v>97</v>
      </c>
    </row>
    <row r="175" customFormat="false" ht="15" hidden="false" customHeight="false" outlineLevel="0" collapsed="false">
      <c r="A175" s="0" t="n">
        <v>526473</v>
      </c>
      <c r="B175" s="0" t="s">
        <v>333</v>
      </c>
      <c r="C175" s="0" t="s">
        <v>19</v>
      </c>
      <c r="D175" s="0" t="s">
        <v>25</v>
      </c>
      <c r="E175" s="0" t="s">
        <v>21</v>
      </c>
      <c r="F175" s="0" t="s">
        <v>247</v>
      </c>
      <c r="G175" s="0" t="n">
        <v>1</v>
      </c>
      <c r="H175" s="0" t="n">
        <v>252.76</v>
      </c>
      <c r="I175" s="0" t="n">
        <v>252.76</v>
      </c>
      <c r="J175" s="0" t="n">
        <v>147.09</v>
      </c>
      <c r="K175" s="0" t="n">
        <v>105.67</v>
      </c>
      <c r="L175" s="0" t="s">
        <v>42</v>
      </c>
    </row>
    <row r="176" customFormat="false" ht="15" hidden="false" customHeight="false" outlineLevel="0" collapsed="false">
      <c r="A176" s="0" t="n">
        <v>514806</v>
      </c>
      <c r="B176" s="0" t="s">
        <v>334</v>
      </c>
      <c r="C176" s="0" t="s">
        <v>19</v>
      </c>
      <c r="D176" s="0" t="s">
        <v>25</v>
      </c>
      <c r="E176" s="0" t="s">
        <v>47</v>
      </c>
      <c r="F176" s="0" t="s">
        <v>335</v>
      </c>
      <c r="G176" s="0" t="n">
        <v>1</v>
      </c>
      <c r="H176" s="0" t="n">
        <v>337.26</v>
      </c>
      <c r="I176" s="0" t="n">
        <v>337.26</v>
      </c>
      <c r="J176" s="0" t="n">
        <v>195.34</v>
      </c>
      <c r="K176" s="0" t="n">
        <v>141.92</v>
      </c>
      <c r="L176" s="0" t="s">
        <v>97</v>
      </c>
    </row>
    <row r="177" customFormat="false" ht="15" hidden="false" customHeight="false" outlineLevel="0" collapsed="false">
      <c r="A177" s="0" t="n">
        <v>503861</v>
      </c>
      <c r="B177" s="0" t="s">
        <v>336</v>
      </c>
      <c r="C177" s="0" t="s">
        <v>19</v>
      </c>
      <c r="D177" s="0" t="s">
        <v>54</v>
      </c>
      <c r="E177" s="0" t="s">
        <v>29</v>
      </c>
      <c r="F177" s="0" t="s">
        <v>337</v>
      </c>
      <c r="G177" s="0" t="n">
        <v>2</v>
      </c>
      <c r="H177" s="0" t="n">
        <v>631.26</v>
      </c>
      <c r="I177" s="0" t="n">
        <v>1262.52</v>
      </c>
      <c r="J177" s="0" t="n">
        <v>702.5</v>
      </c>
      <c r="K177" s="0" t="n">
        <v>560.02</v>
      </c>
      <c r="L177" s="0" t="s">
        <v>67</v>
      </c>
    </row>
    <row r="178" customFormat="false" ht="15" hidden="false" customHeight="false" outlineLevel="0" collapsed="false">
      <c r="A178" s="0" t="n">
        <v>529572</v>
      </c>
      <c r="B178" s="0" t="s">
        <v>338</v>
      </c>
      <c r="C178" s="0" t="s">
        <v>19</v>
      </c>
      <c r="D178" s="0" t="s">
        <v>37</v>
      </c>
      <c r="E178" s="0" t="s">
        <v>59</v>
      </c>
      <c r="F178" s="0" t="s">
        <v>339</v>
      </c>
      <c r="G178" s="0" t="n">
        <v>1</v>
      </c>
      <c r="H178" s="0" t="n">
        <v>33.61</v>
      </c>
      <c r="I178" s="0" t="n">
        <v>33.61</v>
      </c>
      <c r="J178" s="0" t="n">
        <v>19.09</v>
      </c>
      <c r="K178" s="0" t="n">
        <v>14.52</v>
      </c>
      <c r="L178" s="0" t="s">
        <v>290</v>
      </c>
    </row>
    <row r="179" customFormat="false" ht="15" hidden="false" customHeight="false" outlineLevel="0" collapsed="false">
      <c r="A179" s="0" t="n">
        <v>506972</v>
      </c>
      <c r="B179" s="0" t="s">
        <v>340</v>
      </c>
      <c r="C179" s="0" t="s">
        <v>19</v>
      </c>
      <c r="D179" s="0" t="s">
        <v>54</v>
      </c>
      <c r="E179" s="0" t="s">
        <v>21</v>
      </c>
      <c r="F179" s="0" t="s">
        <v>247</v>
      </c>
      <c r="G179" s="0" t="n">
        <v>1</v>
      </c>
      <c r="H179" s="0" t="n">
        <v>260.04</v>
      </c>
      <c r="I179" s="0" t="n">
        <v>260.04</v>
      </c>
      <c r="J179" s="0" t="n">
        <v>147.09</v>
      </c>
      <c r="K179" s="0" t="n">
        <v>112.95</v>
      </c>
      <c r="L179" s="0" t="s">
        <v>154</v>
      </c>
    </row>
    <row r="180" customFormat="false" ht="15" hidden="false" customHeight="false" outlineLevel="0" collapsed="false">
      <c r="A180" s="0" t="n">
        <v>524765</v>
      </c>
      <c r="B180" s="0" t="s">
        <v>341</v>
      </c>
      <c r="C180" s="0" t="s">
        <v>19</v>
      </c>
      <c r="D180" s="0" t="s">
        <v>54</v>
      </c>
      <c r="E180" s="0" t="s">
        <v>21</v>
      </c>
      <c r="F180" s="0" t="s">
        <v>247</v>
      </c>
      <c r="G180" s="0" t="n">
        <v>1</v>
      </c>
      <c r="H180" s="0" t="n">
        <v>250.86</v>
      </c>
      <c r="I180" s="0" t="n">
        <v>250.86</v>
      </c>
      <c r="J180" s="0" t="n">
        <v>147.09</v>
      </c>
      <c r="K180" s="0" t="n">
        <v>103.77</v>
      </c>
      <c r="L180" s="0" t="s">
        <v>127</v>
      </c>
    </row>
    <row r="181" customFormat="false" ht="15" hidden="false" customHeight="false" outlineLevel="0" collapsed="false">
      <c r="A181" s="0" t="n">
        <v>501319</v>
      </c>
      <c r="B181" s="0" t="s">
        <v>342</v>
      </c>
      <c r="C181" s="0" t="s">
        <v>19</v>
      </c>
      <c r="D181" s="0" t="s">
        <v>25</v>
      </c>
      <c r="E181" s="0" t="s">
        <v>29</v>
      </c>
      <c r="F181" s="0" t="s">
        <v>218</v>
      </c>
      <c r="G181" s="0" t="n">
        <v>1</v>
      </c>
      <c r="H181" s="0" t="n">
        <v>791.54</v>
      </c>
      <c r="I181" s="0" t="n">
        <v>791.54</v>
      </c>
      <c r="J181" s="0" t="n">
        <v>447.18</v>
      </c>
      <c r="K181" s="0" t="n">
        <v>344.36</v>
      </c>
      <c r="L181" s="0" t="s">
        <v>277</v>
      </c>
    </row>
    <row r="182" customFormat="false" ht="15" hidden="false" customHeight="false" outlineLevel="0" collapsed="false">
      <c r="A182" s="0" t="n">
        <v>537435</v>
      </c>
      <c r="B182" s="0" t="s">
        <v>343</v>
      </c>
      <c r="C182" s="0" t="s">
        <v>19</v>
      </c>
      <c r="D182" s="0" t="s">
        <v>33</v>
      </c>
      <c r="E182" s="0" t="s">
        <v>21</v>
      </c>
      <c r="F182" s="0" t="s">
        <v>344</v>
      </c>
      <c r="G182" s="0" t="n">
        <v>1</v>
      </c>
      <c r="H182" s="0" t="n">
        <v>1232.79</v>
      </c>
      <c r="I182" s="0" t="n">
        <v>1232.79</v>
      </c>
      <c r="J182" s="0" t="n">
        <v>724.99</v>
      </c>
      <c r="K182" s="0" t="n">
        <v>507.8</v>
      </c>
      <c r="L182" s="0" t="s">
        <v>64</v>
      </c>
    </row>
    <row r="183" customFormat="false" ht="15" hidden="false" customHeight="false" outlineLevel="0" collapsed="false">
      <c r="A183" s="0" t="n">
        <v>522553</v>
      </c>
      <c r="B183" s="0" t="s">
        <v>345</v>
      </c>
      <c r="C183" s="0" t="s">
        <v>19</v>
      </c>
      <c r="D183" s="0" t="s">
        <v>25</v>
      </c>
      <c r="E183" s="0" t="s">
        <v>50</v>
      </c>
      <c r="F183" s="0" t="s">
        <v>51</v>
      </c>
      <c r="G183" s="0" t="n">
        <v>1</v>
      </c>
      <c r="H183" s="0" t="n">
        <v>325.1</v>
      </c>
      <c r="I183" s="0" t="n">
        <v>325.1</v>
      </c>
      <c r="J183" s="0" t="n">
        <v>189.98</v>
      </c>
      <c r="K183" s="0" t="n">
        <v>135.12</v>
      </c>
      <c r="L183" s="0" t="s">
        <v>76</v>
      </c>
    </row>
    <row r="184" customFormat="false" ht="15" hidden="false" customHeight="false" outlineLevel="0" collapsed="false">
      <c r="A184" s="0" t="n">
        <v>501539</v>
      </c>
      <c r="B184" s="0" t="s">
        <v>346</v>
      </c>
      <c r="C184" s="0" t="s">
        <v>19</v>
      </c>
      <c r="D184" s="0" t="s">
        <v>20</v>
      </c>
      <c r="E184" s="0" t="s">
        <v>59</v>
      </c>
      <c r="F184" s="0" t="s">
        <v>187</v>
      </c>
      <c r="G184" s="0" t="n">
        <v>2</v>
      </c>
      <c r="H184" s="0" t="n">
        <v>244.86</v>
      </c>
      <c r="I184" s="0" t="n">
        <v>489.72</v>
      </c>
      <c r="J184" s="0" t="n">
        <v>285.18</v>
      </c>
      <c r="K184" s="0" t="n">
        <v>204.54</v>
      </c>
      <c r="L184" s="0" t="s">
        <v>61</v>
      </c>
    </row>
    <row r="185" customFormat="false" ht="15" hidden="false" customHeight="false" outlineLevel="0" collapsed="false">
      <c r="A185" s="0" t="n">
        <v>518005</v>
      </c>
      <c r="B185" s="0" t="s">
        <v>347</v>
      </c>
      <c r="C185" s="0" t="s">
        <v>19</v>
      </c>
      <c r="D185" s="0" t="s">
        <v>25</v>
      </c>
      <c r="E185" s="0" t="s">
        <v>50</v>
      </c>
      <c r="F185" s="0" t="s">
        <v>314</v>
      </c>
      <c r="G185" s="0" t="n">
        <v>1</v>
      </c>
      <c r="H185" s="0" t="n">
        <v>215.51</v>
      </c>
      <c r="I185" s="0" t="n">
        <v>215.51</v>
      </c>
      <c r="J185" s="0" t="n">
        <v>124.12</v>
      </c>
      <c r="K185" s="0" t="n">
        <v>91.39</v>
      </c>
      <c r="L185" s="0" t="s">
        <v>348</v>
      </c>
    </row>
    <row r="186" customFormat="false" ht="15" hidden="false" customHeight="false" outlineLevel="0" collapsed="false">
      <c r="A186" s="0" t="n">
        <v>503810</v>
      </c>
      <c r="B186" s="0" t="s">
        <v>349</v>
      </c>
      <c r="C186" s="0" t="s">
        <v>19</v>
      </c>
      <c r="D186" s="0" t="s">
        <v>37</v>
      </c>
      <c r="E186" s="0" t="s">
        <v>50</v>
      </c>
      <c r="F186" s="0" t="s">
        <v>273</v>
      </c>
      <c r="G186" s="0" t="n">
        <v>1</v>
      </c>
      <c r="H186" s="0" t="n">
        <v>233.9</v>
      </c>
      <c r="I186" s="0" t="n">
        <v>233.9</v>
      </c>
      <c r="J186" s="0" t="n">
        <v>138.73</v>
      </c>
      <c r="K186" s="0" t="n">
        <v>95.17</v>
      </c>
      <c r="L186" s="0" t="s">
        <v>67</v>
      </c>
    </row>
    <row r="187" customFormat="false" ht="15" hidden="false" customHeight="false" outlineLevel="0" collapsed="false">
      <c r="A187" s="0" t="n">
        <v>513383</v>
      </c>
      <c r="B187" s="0" t="s">
        <v>350</v>
      </c>
      <c r="C187" s="0" t="s">
        <v>19</v>
      </c>
      <c r="D187" s="0" t="s">
        <v>37</v>
      </c>
      <c r="E187" s="0" t="s">
        <v>50</v>
      </c>
      <c r="F187" s="0" t="s">
        <v>166</v>
      </c>
      <c r="G187" s="0" t="n">
        <v>4</v>
      </c>
      <c r="H187" s="0" t="n">
        <v>159.37</v>
      </c>
      <c r="I187" s="0" t="n">
        <v>637.48</v>
      </c>
      <c r="J187" s="0" t="n">
        <v>361.6</v>
      </c>
      <c r="K187" s="0" t="n">
        <v>275.88</v>
      </c>
      <c r="L187" s="0" t="s">
        <v>190</v>
      </c>
    </row>
    <row r="188" customFormat="false" ht="15" hidden="false" customHeight="false" outlineLevel="0" collapsed="false">
      <c r="A188" s="0" t="n">
        <v>513056</v>
      </c>
      <c r="B188" s="0" t="s">
        <v>299</v>
      </c>
      <c r="C188" s="0" t="s">
        <v>19</v>
      </c>
      <c r="D188" s="0" t="s">
        <v>33</v>
      </c>
      <c r="E188" s="0" t="s">
        <v>59</v>
      </c>
      <c r="F188" s="0" t="s">
        <v>159</v>
      </c>
      <c r="G188" s="0" t="n">
        <v>1</v>
      </c>
      <c r="H188" s="0" t="n">
        <v>81.94</v>
      </c>
      <c r="I188" s="0" t="n">
        <v>81.94</v>
      </c>
      <c r="J188" s="0" t="n">
        <v>45.21</v>
      </c>
      <c r="K188" s="0" t="n">
        <v>36.73</v>
      </c>
      <c r="L188" s="0" t="s">
        <v>190</v>
      </c>
    </row>
    <row r="189" customFormat="false" ht="15" hidden="false" customHeight="false" outlineLevel="0" collapsed="false">
      <c r="A189" s="0" t="n">
        <v>502029</v>
      </c>
      <c r="B189" s="0" t="s">
        <v>351</v>
      </c>
      <c r="C189" s="0" t="s">
        <v>19</v>
      </c>
      <c r="D189" s="0" t="s">
        <v>54</v>
      </c>
      <c r="E189" s="0" t="s">
        <v>55</v>
      </c>
      <c r="F189" s="0" t="s">
        <v>113</v>
      </c>
      <c r="G189" s="0" t="n">
        <v>1</v>
      </c>
      <c r="H189" s="0" t="n">
        <v>81.72</v>
      </c>
      <c r="I189" s="0" t="n">
        <v>81.72</v>
      </c>
      <c r="J189" s="0" t="n">
        <v>45.31</v>
      </c>
      <c r="K189" s="0" t="n">
        <v>36.41</v>
      </c>
      <c r="L189" s="0" t="s">
        <v>61</v>
      </c>
    </row>
    <row r="190" customFormat="false" ht="15" hidden="false" customHeight="false" outlineLevel="0" collapsed="false">
      <c r="A190" s="0" t="n">
        <v>534942</v>
      </c>
      <c r="B190" s="0" t="s">
        <v>352</v>
      </c>
      <c r="C190" s="0" t="s">
        <v>19</v>
      </c>
      <c r="D190" s="0" t="s">
        <v>33</v>
      </c>
      <c r="E190" s="0" t="s">
        <v>50</v>
      </c>
      <c r="F190" s="0" t="s">
        <v>109</v>
      </c>
      <c r="G190" s="0" t="n">
        <v>1</v>
      </c>
      <c r="H190" s="0" t="n">
        <v>180.28</v>
      </c>
      <c r="I190" s="0" t="n">
        <v>180.28</v>
      </c>
      <c r="J190" s="0" t="n">
        <v>99.31</v>
      </c>
      <c r="K190" s="0" t="n">
        <v>80.97</v>
      </c>
      <c r="L190" s="0" t="s">
        <v>70</v>
      </c>
    </row>
    <row r="191" customFormat="false" ht="15" hidden="false" customHeight="false" outlineLevel="0" collapsed="false">
      <c r="A191" s="0" t="n">
        <v>507796</v>
      </c>
      <c r="B191" s="0" t="s">
        <v>353</v>
      </c>
      <c r="C191" s="0" t="s">
        <v>19</v>
      </c>
      <c r="D191" s="0" t="s">
        <v>54</v>
      </c>
      <c r="E191" s="0" t="s">
        <v>21</v>
      </c>
      <c r="F191" s="0" t="s">
        <v>298</v>
      </c>
      <c r="G191" s="0" t="n">
        <v>1</v>
      </c>
      <c r="H191" s="0" t="n">
        <v>925.88</v>
      </c>
      <c r="I191" s="0" t="n">
        <v>925.88</v>
      </c>
      <c r="J191" s="0" t="n">
        <v>524.53</v>
      </c>
      <c r="K191" s="0" t="n">
        <v>401.35</v>
      </c>
      <c r="L191" s="0" t="s">
        <v>39</v>
      </c>
    </row>
    <row r="192" customFormat="false" ht="15" hidden="false" customHeight="false" outlineLevel="0" collapsed="false">
      <c r="A192" s="0" t="n">
        <v>531152</v>
      </c>
      <c r="B192" s="0" t="s">
        <v>354</v>
      </c>
      <c r="C192" s="0" t="s">
        <v>19</v>
      </c>
      <c r="D192" s="0" t="s">
        <v>20</v>
      </c>
      <c r="E192" s="0" t="s">
        <v>55</v>
      </c>
      <c r="F192" s="0" t="s">
        <v>153</v>
      </c>
      <c r="G192" s="0" t="n">
        <v>1</v>
      </c>
      <c r="H192" s="0" t="n">
        <v>55.96</v>
      </c>
      <c r="I192" s="0" t="n">
        <v>55.96</v>
      </c>
      <c r="J192" s="0" t="n">
        <v>32.64</v>
      </c>
      <c r="K192" s="0" t="n">
        <v>23.32</v>
      </c>
      <c r="L192" s="0" t="s">
        <v>57</v>
      </c>
    </row>
    <row r="193" customFormat="false" ht="15" hidden="false" customHeight="false" outlineLevel="0" collapsed="false">
      <c r="A193" s="0" t="n">
        <v>504616</v>
      </c>
      <c r="B193" s="0" t="s">
        <v>355</v>
      </c>
      <c r="C193" s="0" t="s">
        <v>19</v>
      </c>
      <c r="D193" s="0" t="s">
        <v>20</v>
      </c>
      <c r="E193" s="0" t="s">
        <v>50</v>
      </c>
      <c r="F193" s="0" t="s">
        <v>194</v>
      </c>
      <c r="G193" s="0" t="n">
        <v>1</v>
      </c>
      <c r="H193" s="0" t="n">
        <v>263.39</v>
      </c>
      <c r="I193" s="0" t="n">
        <v>263.39</v>
      </c>
      <c r="J193" s="0" t="n">
        <v>149.37</v>
      </c>
      <c r="K193" s="0" t="n">
        <v>114.02</v>
      </c>
      <c r="L193" s="0" t="s">
        <v>252</v>
      </c>
    </row>
    <row r="194" customFormat="false" ht="15" hidden="false" customHeight="false" outlineLevel="0" collapsed="false">
      <c r="A194" s="0" t="n">
        <v>506486</v>
      </c>
      <c r="B194" s="0" t="s">
        <v>356</v>
      </c>
      <c r="C194" s="0" t="s">
        <v>19</v>
      </c>
      <c r="D194" s="0" t="s">
        <v>33</v>
      </c>
      <c r="E194" s="0" t="s">
        <v>21</v>
      </c>
      <c r="F194" s="0" t="s">
        <v>26</v>
      </c>
      <c r="G194" s="0" t="n">
        <v>2</v>
      </c>
      <c r="H194" s="0" t="n">
        <v>853.06</v>
      </c>
      <c r="I194" s="0" t="n">
        <v>1706.12</v>
      </c>
      <c r="J194" s="0" t="n">
        <v>1005.1</v>
      </c>
      <c r="K194" s="0" t="n">
        <v>701.02</v>
      </c>
      <c r="L194" s="0" t="s">
        <v>148</v>
      </c>
    </row>
    <row r="195" customFormat="false" ht="15" hidden="false" customHeight="false" outlineLevel="0" collapsed="false">
      <c r="A195" s="0" t="n">
        <v>531204</v>
      </c>
      <c r="B195" s="0" t="s">
        <v>53</v>
      </c>
      <c r="C195" s="0" t="s">
        <v>19</v>
      </c>
      <c r="D195" s="0" t="s">
        <v>33</v>
      </c>
      <c r="E195" s="0" t="s">
        <v>21</v>
      </c>
      <c r="F195" s="0" t="s">
        <v>287</v>
      </c>
      <c r="G195" s="0" t="n">
        <v>2</v>
      </c>
      <c r="H195" s="0" t="n">
        <v>279.65</v>
      </c>
      <c r="I195" s="0" t="n">
        <v>559.3</v>
      </c>
      <c r="J195" s="0" t="n">
        <v>311.14</v>
      </c>
      <c r="K195" s="0" t="n">
        <v>248.16</v>
      </c>
      <c r="L195" s="0" t="s">
        <v>57</v>
      </c>
    </row>
    <row r="196" customFormat="false" ht="15" hidden="false" customHeight="false" outlineLevel="0" collapsed="false">
      <c r="A196" s="0" t="n">
        <v>502439</v>
      </c>
      <c r="B196" s="0" t="s">
        <v>357</v>
      </c>
      <c r="C196" s="0" t="s">
        <v>19</v>
      </c>
      <c r="D196" s="0" t="s">
        <v>33</v>
      </c>
      <c r="E196" s="0" t="s">
        <v>50</v>
      </c>
      <c r="F196" s="0" t="s">
        <v>358</v>
      </c>
      <c r="G196" s="0" t="n">
        <v>1</v>
      </c>
      <c r="H196" s="0" t="n">
        <v>199.59</v>
      </c>
      <c r="I196" s="0" t="n">
        <v>199.59</v>
      </c>
      <c r="J196" s="0" t="n">
        <v>116.12</v>
      </c>
      <c r="K196" s="0" t="n">
        <v>83.47</v>
      </c>
      <c r="L196" s="0" t="s">
        <v>102</v>
      </c>
    </row>
    <row r="197" customFormat="false" ht="15" hidden="false" customHeight="false" outlineLevel="0" collapsed="false">
      <c r="A197" s="0" t="n">
        <v>517590</v>
      </c>
      <c r="B197" s="0" t="s">
        <v>359</v>
      </c>
      <c r="C197" s="0" t="s">
        <v>19</v>
      </c>
      <c r="D197" s="0" t="s">
        <v>20</v>
      </c>
      <c r="E197" s="0" t="s">
        <v>21</v>
      </c>
      <c r="F197" s="0" t="s">
        <v>360</v>
      </c>
      <c r="G197" s="0" t="n">
        <v>1</v>
      </c>
      <c r="H197" s="0" t="n">
        <v>406.72</v>
      </c>
      <c r="I197" s="0" t="n">
        <v>406.72</v>
      </c>
      <c r="J197" s="0" t="n">
        <v>238.29</v>
      </c>
      <c r="K197" s="0" t="n">
        <v>168.43</v>
      </c>
      <c r="L197" s="0" t="s">
        <v>79</v>
      </c>
    </row>
    <row r="198" customFormat="false" ht="15" hidden="false" customHeight="false" outlineLevel="0" collapsed="false">
      <c r="A198" s="0" t="n">
        <v>519255</v>
      </c>
      <c r="B198" s="0" t="s">
        <v>361</v>
      </c>
      <c r="C198" s="0" t="s">
        <v>19</v>
      </c>
      <c r="D198" s="0" t="s">
        <v>25</v>
      </c>
      <c r="E198" s="0" t="s">
        <v>21</v>
      </c>
      <c r="F198" s="0" t="s">
        <v>329</v>
      </c>
      <c r="G198" s="0" t="n">
        <v>1</v>
      </c>
      <c r="H198" s="0" t="n">
        <v>1201.6</v>
      </c>
      <c r="I198" s="0" t="n">
        <v>1201.6</v>
      </c>
      <c r="J198" s="0" t="n">
        <v>715.29</v>
      </c>
      <c r="K198" s="0" t="n">
        <v>486.31</v>
      </c>
      <c r="L198" s="0" t="s">
        <v>198</v>
      </c>
    </row>
    <row r="199" customFormat="false" ht="15" hidden="false" customHeight="false" outlineLevel="0" collapsed="false">
      <c r="A199" s="0" t="n">
        <v>505539</v>
      </c>
      <c r="B199" s="0" t="s">
        <v>362</v>
      </c>
      <c r="C199" s="0" t="s">
        <v>19</v>
      </c>
      <c r="D199" s="0" t="s">
        <v>20</v>
      </c>
      <c r="E199" s="0" t="s">
        <v>21</v>
      </c>
      <c r="F199" s="0" t="s">
        <v>344</v>
      </c>
      <c r="G199" s="0" t="n">
        <v>4</v>
      </c>
      <c r="H199" s="0" t="n">
        <v>1222.06</v>
      </c>
      <c r="I199" s="0" t="n">
        <v>4888.24</v>
      </c>
      <c r="J199" s="0" t="n">
        <v>2899.96</v>
      </c>
      <c r="K199" s="0" t="n">
        <v>1988.28</v>
      </c>
      <c r="L199" s="0" t="s">
        <v>222</v>
      </c>
    </row>
    <row r="200" customFormat="false" ht="15" hidden="false" customHeight="false" outlineLevel="0" collapsed="false">
      <c r="A200" s="0" t="n">
        <v>526867</v>
      </c>
      <c r="B200" s="0" t="s">
        <v>363</v>
      </c>
      <c r="C200" s="0" t="s">
        <v>19</v>
      </c>
      <c r="D200" s="0" t="s">
        <v>37</v>
      </c>
      <c r="E200" s="0" t="s">
        <v>21</v>
      </c>
      <c r="F200" s="0" t="s">
        <v>96</v>
      </c>
      <c r="G200" s="0" t="n">
        <v>2</v>
      </c>
      <c r="H200" s="0" t="n">
        <v>967.08</v>
      </c>
      <c r="I200" s="0" t="n">
        <v>1934.16</v>
      </c>
      <c r="J200" s="0" t="n">
        <v>1123.76</v>
      </c>
      <c r="K200" s="0" t="n">
        <v>810.4</v>
      </c>
      <c r="L200" s="0" t="s">
        <v>88</v>
      </c>
    </row>
    <row r="201" customFormat="false" ht="15" hidden="false" customHeight="false" outlineLevel="0" collapsed="false">
      <c r="A201" s="0" t="n">
        <v>501341</v>
      </c>
      <c r="B201" s="0" t="s">
        <v>364</v>
      </c>
      <c r="C201" s="0" t="s">
        <v>19</v>
      </c>
      <c r="D201" s="0" t="s">
        <v>54</v>
      </c>
      <c r="E201" s="0" t="s">
        <v>50</v>
      </c>
      <c r="F201" s="0" t="s">
        <v>314</v>
      </c>
      <c r="G201" s="0" t="n">
        <v>2</v>
      </c>
      <c r="H201" s="0" t="n">
        <v>225.04</v>
      </c>
      <c r="I201" s="0" t="n">
        <v>450.08</v>
      </c>
      <c r="J201" s="0" t="n">
        <v>248.24</v>
      </c>
      <c r="K201" s="0" t="n">
        <v>201.84</v>
      </c>
      <c r="L201" s="0" t="s">
        <v>277</v>
      </c>
    </row>
    <row r="202" customFormat="false" ht="15" hidden="false" customHeight="false" outlineLevel="0" collapsed="false">
      <c r="A202" s="0" t="n">
        <v>533507</v>
      </c>
      <c r="B202" s="0" t="s">
        <v>365</v>
      </c>
      <c r="C202" s="0" t="s">
        <v>19</v>
      </c>
      <c r="D202" s="0" t="s">
        <v>37</v>
      </c>
      <c r="E202" s="0" t="s">
        <v>29</v>
      </c>
      <c r="F202" s="0" t="s">
        <v>366</v>
      </c>
      <c r="G202" s="0" t="n">
        <v>1</v>
      </c>
      <c r="H202" s="0" t="n">
        <v>207.34</v>
      </c>
      <c r="I202" s="0" t="n">
        <v>207.34</v>
      </c>
      <c r="J202" s="0" t="n">
        <v>116.7</v>
      </c>
      <c r="K202" s="0" t="n">
        <v>90.64</v>
      </c>
      <c r="L202" s="0" t="s">
        <v>70</v>
      </c>
    </row>
    <row r="203" customFormat="false" ht="15" hidden="false" customHeight="false" outlineLevel="0" collapsed="false">
      <c r="A203" s="0" t="n">
        <v>534299</v>
      </c>
      <c r="B203" s="0" t="s">
        <v>367</v>
      </c>
      <c r="C203" s="0" t="s">
        <v>19</v>
      </c>
      <c r="D203" s="0" t="s">
        <v>54</v>
      </c>
      <c r="E203" s="0" t="s">
        <v>55</v>
      </c>
      <c r="F203" s="0" t="s">
        <v>111</v>
      </c>
      <c r="G203" s="0" t="n">
        <v>1</v>
      </c>
      <c r="H203" s="0" t="n">
        <v>159.98</v>
      </c>
      <c r="I203" s="0" t="n">
        <v>159.98</v>
      </c>
      <c r="J203" s="0" t="n">
        <v>94.24</v>
      </c>
      <c r="K203" s="0" t="n">
        <v>65.74</v>
      </c>
      <c r="L203" s="0" t="s">
        <v>70</v>
      </c>
    </row>
    <row r="204" customFormat="false" ht="15" hidden="false" customHeight="false" outlineLevel="0" collapsed="false">
      <c r="A204" s="0" t="n">
        <v>533218</v>
      </c>
      <c r="B204" s="0" t="s">
        <v>249</v>
      </c>
      <c r="C204" s="0" t="s">
        <v>19</v>
      </c>
      <c r="D204" s="0" t="s">
        <v>37</v>
      </c>
      <c r="E204" s="0" t="s">
        <v>50</v>
      </c>
      <c r="F204" s="0" t="s">
        <v>75</v>
      </c>
      <c r="G204" s="0" t="n">
        <v>2</v>
      </c>
      <c r="H204" s="0" t="n">
        <v>283.89</v>
      </c>
      <c r="I204" s="0" t="n">
        <v>567.78</v>
      </c>
      <c r="J204" s="0" t="n">
        <v>314.1</v>
      </c>
      <c r="K204" s="0" t="n">
        <v>253.68</v>
      </c>
      <c r="L204" s="0" t="s">
        <v>27</v>
      </c>
    </row>
    <row r="205" customFormat="false" ht="15" hidden="false" customHeight="false" outlineLevel="0" collapsed="false">
      <c r="A205" s="0" t="n">
        <v>525528</v>
      </c>
      <c r="B205" s="0" t="s">
        <v>368</v>
      </c>
      <c r="C205" s="0" t="s">
        <v>19</v>
      </c>
      <c r="D205" s="0" t="s">
        <v>54</v>
      </c>
      <c r="E205" s="0" t="s">
        <v>59</v>
      </c>
      <c r="F205" s="0" t="s">
        <v>151</v>
      </c>
      <c r="G205" s="0" t="n">
        <v>2</v>
      </c>
      <c r="H205" s="0" t="n">
        <v>200.88</v>
      </c>
      <c r="I205" s="0" t="n">
        <v>401.76</v>
      </c>
      <c r="J205" s="0" t="n">
        <v>225.54</v>
      </c>
      <c r="K205" s="0" t="n">
        <v>176.22</v>
      </c>
      <c r="L205" s="0" t="s">
        <v>127</v>
      </c>
    </row>
    <row r="206" customFormat="false" ht="15" hidden="false" customHeight="false" outlineLevel="0" collapsed="false">
      <c r="A206" s="0" t="n">
        <v>514077</v>
      </c>
      <c r="B206" s="0" t="s">
        <v>369</v>
      </c>
      <c r="C206" s="0" t="s">
        <v>19</v>
      </c>
      <c r="D206" s="0" t="s">
        <v>25</v>
      </c>
      <c r="E206" s="0" t="s">
        <v>21</v>
      </c>
      <c r="F206" s="0" t="s">
        <v>22</v>
      </c>
      <c r="G206" s="0" t="n">
        <v>1</v>
      </c>
      <c r="H206" s="0" t="n">
        <v>91.88</v>
      </c>
      <c r="I206" s="0" t="n">
        <v>91.88</v>
      </c>
      <c r="J206" s="0" t="n">
        <v>51.27</v>
      </c>
      <c r="K206" s="0" t="n">
        <v>40.61</v>
      </c>
      <c r="L206" s="0" t="s">
        <v>35</v>
      </c>
    </row>
    <row r="207" customFormat="false" ht="15" hidden="false" customHeight="false" outlineLevel="0" collapsed="false">
      <c r="A207" s="0" t="n">
        <v>512522</v>
      </c>
      <c r="B207" s="0" t="s">
        <v>370</v>
      </c>
      <c r="C207" s="0" t="s">
        <v>19</v>
      </c>
      <c r="D207" s="0" t="s">
        <v>37</v>
      </c>
      <c r="E207" s="0" t="s">
        <v>50</v>
      </c>
      <c r="F207" s="0" t="s">
        <v>172</v>
      </c>
      <c r="G207" s="0" t="n">
        <v>3</v>
      </c>
      <c r="H207" s="0" t="n">
        <v>258.44</v>
      </c>
      <c r="I207" s="0" t="n">
        <v>775.32</v>
      </c>
      <c r="J207" s="0" t="n">
        <v>452.58</v>
      </c>
      <c r="K207" s="0" t="n">
        <v>322.74</v>
      </c>
      <c r="L207" s="0" t="s">
        <v>243</v>
      </c>
    </row>
    <row r="208" customFormat="false" ht="15" hidden="false" customHeight="false" outlineLevel="0" collapsed="false">
      <c r="A208" s="0" t="n">
        <v>506814</v>
      </c>
      <c r="B208" s="0" t="s">
        <v>371</v>
      </c>
      <c r="C208" s="0" t="s">
        <v>19</v>
      </c>
      <c r="D208" s="0" t="s">
        <v>33</v>
      </c>
      <c r="E208" s="0" t="s">
        <v>21</v>
      </c>
      <c r="F208" s="0" t="s">
        <v>292</v>
      </c>
      <c r="G208" s="0" t="n">
        <v>1</v>
      </c>
      <c r="H208" s="0" t="n">
        <v>119.2</v>
      </c>
      <c r="I208" s="0" t="n">
        <v>119.2</v>
      </c>
      <c r="J208" s="0" t="n">
        <v>70.28</v>
      </c>
      <c r="K208" s="0" t="n">
        <v>48.92</v>
      </c>
      <c r="L208" s="0" t="s">
        <v>154</v>
      </c>
    </row>
    <row r="209" customFormat="false" ht="15" hidden="false" customHeight="false" outlineLevel="0" collapsed="false">
      <c r="A209" s="0" t="n">
        <v>534606</v>
      </c>
      <c r="B209" s="0" t="s">
        <v>372</v>
      </c>
      <c r="C209" s="0" t="s">
        <v>19</v>
      </c>
      <c r="D209" s="0" t="s">
        <v>54</v>
      </c>
      <c r="E209" s="0" t="s">
        <v>59</v>
      </c>
      <c r="F209" s="0" t="s">
        <v>373</v>
      </c>
      <c r="G209" s="0" t="n">
        <v>1</v>
      </c>
      <c r="H209" s="0" t="n">
        <v>154.01</v>
      </c>
      <c r="I209" s="0" t="n">
        <v>154.01</v>
      </c>
      <c r="J209" s="0" t="n">
        <v>90.4</v>
      </c>
      <c r="K209" s="0" t="n">
        <v>63.61</v>
      </c>
      <c r="L209" s="0" t="s">
        <v>70</v>
      </c>
    </row>
    <row r="210" customFormat="false" ht="15" hidden="false" customHeight="false" outlineLevel="0" collapsed="false">
      <c r="A210" s="0" t="n">
        <v>531241</v>
      </c>
      <c r="B210" s="0" t="s">
        <v>110</v>
      </c>
      <c r="C210" s="0" t="s">
        <v>19</v>
      </c>
      <c r="D210" s="0" t="s">
        <v>20</v>
      </c>
      <c r="E210" s="0" t="s">
        <v>21</v>
      </c>
      <c r="F210" s="0" t="s">
        <v>374</v>
      </c>
      <c r="G210" s="0" t="n">
        <v>1</v>
      </c>
      <c r="H210" s="0" t="n">
        <v>1240.12</v>
      </c>
      <c r="I210" s="0" t="n">
        <v>1240.12</v>
      </c>
      <c r="J210" s="0" t="n">
        <v>721.88</v>
      </c>
      <c r="K210" s="0" t="n">
        <v>518.24</v>
      </c>
      <c r="L210" s="0" t="s">
        <v>57</v>
      </c>
    </row>
    <row r="211" customFormat="false" ht="15" hidden="false" customHeight="false" outlineLevel="0" collapsed="false">
      <c r="A211" s="0" t="n">
        <v>513164</v>
      </c>
      <c r="B211" s="0" t="s">
        <v>375</v>
      </c>
      <c r="C211" s="0" t="s">
        <v>19</v>
      </c>
      <c r="D211" s="0" t="s">
        <v>33</v>
      </c>
      <c r="E211" s="0" t="s">
        <v>21</v>
      </c>
      <c r="F211" s="0" t="s">
        <v>101</v>
      </c>
      <c r="G211" s="0" t="n">
        <v>1</v>
      </c>
      <c r="H211" s="0" t="n">
        <v>684.26</v>
      </c>
      <c r="I211" s="0" t="n">
        <v>684.26</v>
      </c>
      <c r="J211" s="0" t="n">
        <v>403.6</v>
      </c>
      <c r="K211" s="0" t="n">
        <v>280.66</v>
      </c>
      <c r="L211" s="0" t="s">
        <v>190</v>
      </c>
    </row>
    <row r="212" customFormat="false" ht="15" hidden="false" customHeight="false" outlineLevel="0" collapsed="false">
      <c r="A212" s="0" t="n">
        <v>530525</v>
      </c>
      <c r="B212" s="0" t="s">
        <v>199</v>
      </c>
      <c r="C212" s="0" t="s">
        <v>19</v>
      </c>
      <c r="D212" s="0" t="s">
        <v>20</v>
      </c>
      <c r="E212" s="0" t="s">
        <v>47</v>
      </c>
      <c r="F212" s="0" t="s">
        <v>376</v>
      </c>
      <c r="G212" s="0" t="n">
        <v>2</v>
      </c>
      <c r="H212" s="0" t="n">
        <v>499.03</v>
      </c>
      <c r="I212" s="0" t="n">
        <v>998.06</v>
      </c>
      <c r="J212" s="0" t="n">
        <v>588.94</v>
      </c>
      <c r="K212" s="0" t="n">
        <v>409.12</v>
      </c>
      <c r="L212" s="0" t="s">
        <v>57</v>
      </c>
    </row>
    <row r="213" customFormat="false" ht="15" hidden="false" customHeight="false" outlineLevel="0" collapsed="false">
      <c r="A213" s="0" t="n">
        <v>501949</v>
      </c>
      <c r="B213" s="0" t="s">
        <v>377</v>
      </c>
      <c r="C213" s="0" t="s">
        <v>19</v>
      </c>
      <c r="D213" s="0" t="s">
        <v>54</v>
      </c>
      <c r="E213" s="0" t="s">
        <v>50</v>
      </c>
      <c r="F213" s="0" t="s">
        <v>250</v>
      </c>
      <c r="G213" s="0" t="n">
        <v>1</v>
      </c>
      <c r="H213" s="0" t="n">
        <v>166.18</v>
      </c>
      <c r="I213" s="0" t="n">
        <v>166.18</v>
      </c>
      <c r="J213" s="0" t="n">
        <v>96.7</v>
      </c>
      <c r="K213" s="0" t="n">
        <v>69.48</v>
      </c>
      <c r="L213" s="0" t="s">
        <v>61</v>
      </c>
    </row>
    <row r="214" customFormat="false" ht="15" hidden="false" customHeight="false" outlineLevel="0" collapsed="false">
      <c r="A214" s="0" t="n">
        <v>510904</v>
      </c>
      <c r="B214" s="0" t="s">
        <v>378</v>
      </c>
      <c r="C214" s="0" t="s">
        <v>19</v>
      </c>
      <c r="D214" s="0" t="s">
        <v>20</v>
      </c>
      <c r="E214" s="0" t="s">
        <v>21</v>
      </c>
      <c r="F214" s="0" t="s">
        <v>26</v>
      </c>
      <c r="G214" s="0" t="n">
        <v>1</v>
      </c>
      <c r="H214" s="0" t="n">
        <v>866.73</v>
      </c>
      <c r="I214" s="0" t="n">
        <v>866.73</v>
      </c>
      <c r="J214" s="0" t="n">
        <v>502.55</v>
      </c>
      <c r="K214" s="0" t="n">
        <v>364.18</v>
      </c>
      <c r="L214" s="0" t="s">
        <v>130</v>
      </c>
    </row>
    <row r="215" customFormat="false" ht="15" hidden="false" customHeight="false" outlineLevel="0" collapsed="false">
      <c r="A215" s="0" t="n">
        <v>522369</v>
      </c>
      <c r="B215" s="0" t="s">
        <v>379</v>
      </c>
      <c r="C215" s="0" t="s">
        <v>19</v>
      </c>
      <c r="D215" s="0" t="s">
        <v>37</v>
      </c>
      <c r="E215" s="0" t="s">
        <v>50</v>
      </c>
      <c r="F215" s="0" t="s">
        <v>202</v>
      </c>
      <c r="G215" s="0" t="n">
        <v>1</v>
      </c>
      <c r="H215" s="0" t="n">
        <v>266.98</v>
      </c>
      <c r="I215" s="0" t="n">
        <v>266.98</v>
      </c>
      <c r="J215" s="0" t="n">
        <v>155.78</v>
      </c>
      <c r="K215" s="0" t="n">
        <v>111.2</v>
      </c>
      <c r="L215" s="0" t="s">
        <v>76</v>
      </c>
    </row>
    <row r="216" customFormat="false" ht="15" hidden="false" customHeight="false" outlineLevel="0" collapsed="false">
      <c r="A216" s="0" t="n">
        <v>518507</v>
      </c>
      <c r="B216" s="0" t="s">
        <v>380</v>
      </c>
      <c r="C216" s="0" t="s">
        <v>19</v>
      </c>
      <c r="D216" s="0" t="s">
        <v>54</v>
      </c>
      <c r="E216" s="0" t="s">
        <v>59</v>
      </c>
      <c r="F216" s="0" t="s">
        <v>373</v>
      </c>
      <c r="G216" s="0" t="n">
        <v>1</v>
      </c>
      <c r="H216" s="0" t="n">
        <v>154.42</v>
      </c>
      <c r="I216" s="0" t="n">
        <v>154.42</v>
      </c>
      <c r="J216" s="0" t="n">
        <v>90.4</v>
      </c>
      <c r="K216" s="0" t="n">
        <v>64.02</v>
      </c>
      <c r="L216" s="0" t="s">
        <v>348</v>
      </c>
    </row>
    <row r="217" customFormat="false" ht="15" hidden="false" customHeight="false" outlineLevel="0" collapsed="false">
      <c r="A217" s="0" t="n">
        <v>502038</v>
      </c>
      <c r="B217" s="0" t="s">
        <v>351</v>
      </c>
      <c r="C217" s="0" t="s">
        <v>19</v>
      </c>
      <c r="D217" s="0" t="s">
        <v>33</v>
      </c>
      <c r="E217" s="0" t="s">
        <v>59</v>
      </c>
      <c r="F217" s="0" t="s">
        <v>381</v>
      </c>
      <c r="G217" s="0" t="n">
        <v>1</v>
      </c>
      <c r="H217" s="0" t="n">
        <v>109.24</v>
      </c>
      <c r="I217" s="0" t="n">
        <v>109.24</v>
      </c>
      <c r="J217" s="0" t="n">
        <v>63.94</v>
      </c>
      <c r="K217" s="0" t="n">
        <v>45.3</v>
      </c>
      <c r="L217" s="0" t="s">
        <v>61</v>
      </c>
    </row>
    <row r="218" customFormat="false" ht="15" hidden="false" customHeight="false" outlineLevel="0" collapsed="false">
      <c r="A218" s="0" t="n">
        <v>532926</v>
      </c>
      <c r="B218" s="0" t="s">
        <v>382</v>
      </c>
      <c r="C218" s="0" t="s">
        <v>19</v>
      </c>
      <c r="D218" s="0" t="s">
        <v>25</v>
      </c>
      <c r="E218" s="0" t="s">
        <v>55</v>
      </c>
      <c r="F218" s="0" t="s">
        <v>383</v>
      </c>
      <c r="G218" s="0" t="n">
        <v>2</v>
      </c>
      <c r="H218" s="0" t="n">
        <v>66.73</v>
      </c>
      <c r="I218" s="0" t="n">
        <v>133.46</v>
      </c>
      <c r="J218" s="0" t="n">
        <v>73.92</v>
      </c>
      <c r="K218" s="0" t="n">
        <v>59.54</v>
      </c>
      <c r="L218" s="0" t="s">
        <v>27</v>
      </c>
    </row>
    <row r="219" customFormat="false" ht="15" hidden="false" customHeight="false" outlineLevel="0" collapsed="false">
      <c r="A219" s="0" t="n">
        <v>510291</v>
      </c>
      <c r="B219" s="0" t="s">
        <v>384</v>
      </c>
      <c r="C219" s="0" t="s">
        <v>19</v>
      </c>
      <c r="D219" s="0" t="s">
        <v>37</v>
      </c>
      <c r="E219" s="0" t="s">
        <v>47</v>
      </c>
      <c r="F219" s="0" t="s">
        <v>385</v>
      </c>
      <c r="G219" s="0" t="n">
        <v>2</v>
      </c>
      <c r="H219" s="0" t="n">
        <v>686.94</v>
      </c>
      <c r="I219" s="0" t="n">
        <v>1373.88</v>
      </c>
      <c r="J219" s="0" t="n">
        <v>764.78</v>
      </c>
      <c r="K219" s="0" t="n">
        <v>609.1</v>
      </c>
      <c r="L219" s="0" t="s">
        <v>130</v>
      </c>
    </row>
    <row r="220" customFormat="false" ht="15" hidden="false" customHeight="false" outlineLevel="0" collapsed="false">
      <c r="A220" s="0" t="n">
        <v>524058</v>
      </c>
      <c r="B220" s="0" t="s">
        <v>386</v>
      </c>
      <c r="C220" s="0" t="s">
        <v>19</v>
      </c>
      <c r="D220" s="0" t="s">
        <v>54</v>
      </c>
      <c r="E220" s="0" t="s">
        <v>59</v>
      </c>
      <c r="F220" s="0" t="s">
        <v>279</v>
      </c>
      <c r="G220" s="0" t="n">
        <v>1</v>
      </c>
      <c r="H220" s="0" t="n">
        <v>114.86</v>
      </c>
      <c r="I220" s="0" t="n">
        <v>114.86</v>
      </c>
      <c r="J220" s="0" t="n">
        <v>65.54</v>
      </c>
      <c r="K220" s="0" t="n">
        <v>49.32</v>
      </c>
      <c r="L220" s="0" t="s">
        <v>107</v>
      </c>
    </row>
    <row r="221" customFormat="false" ht="15" hidden="false" customHeight="false" outlineLevel="0" collapsed="false">
      <c r="A221" s="0" t="n">
        <v>504187</v>
      </c>
      <c r="B221" s="0" t="s">
        <v>387</v>
      </c>
      <c r="C221" s="0" t="s">
        <v>19</v>
      </c>
      <c r="D221" s="0" t="s">
        <v>37</v>
      </c>
      <c r="E221" s="0" t="s">
        <v>47</v>
      </c>
      <c r="F221" s="0" t="s">
        <v>388</v>
      </c>
      <c r="G221" s="0" t="n">
        <v>2</v>
      </c>
      <c r="H221" s="0" t="n">
        <v>624.19</v>
      </c>
      <c r="I221" s="0" t="n">
        <v>1248.38</v>
      </c>
      <c r="J221" s="0" t="n">
        <v>699.36</v>
      </c>
      <c r="K221" s="0" t="n">
        <v>549.02</v>
      </c>
      <c r="L221" s="0" t="s">
        <v>67</v>
      </c>
    </row>
    <row r="222" customFormat="false" ht="15" hidden="false" customHeight="false" outlineLevel="0" collapsed="false">
      <c r="A222" s="0" t="n">
        <v>510187</v>
      </c>
      <c r="B222" s="0" t="s">
        <v>389</v>
      </c>
      <c r="C222" s="0" t="s">
        <v>19</v>
      </c>
      <c r="D222" s="0" t="s">
        <v>37</v>
      </c>
      <c r="E222" s="0" t="s">
        <v>50</v>
      </c>
      <c r="F222" s="0" t="s">
        <v>122</v>
      </c>
      <c r="G222" s="0" t="n">
        <v>1</v>
      </c>
      <c r="H222" s="0" t="n">
        <v>244.54</v>
      </c>
      <c r="I222" s="0" t="n">
        <v>244.54</v>
      </c>
      <c r="J222" s="0" t="n">
        <v>145.33</v>
      </c>
      <c r="K222" s="0" t="n">
        <v>99.21</v>
      </c>
      <c r="L222" s="0" t="s">
        <v>130</v>
      </c>
    </row>
    <row r="223" customFormat="false" ht="15" hidden="false" customHeight="false" outlineLevel="0" collapsed="false">
      <c r="A223" s="0" t="n">
        <v>527564</v>
      </c>
      <c r="B223" s="0" t="s">
        <v>390</v>
      </c>
      <c r="C223" s="0" t="s">
        <v>19</v>
      </c>
      <c r="D223" s="0" t="s">
        <v>25</v>
      </c>
      <c r="E223" s="0" t="s">
        <v>21</v>
      </c>
      <c r="F223" s="0" t="s">
        <v>41</v>
      </c>
      <c r="G223" s="0" t="n">
        <v>1</v>
      </c>
      <c r="H223" s="0" t="n">
        <v>1151.11</v>
      </c>
      <c r="I223" s="0" t="n">
        <v>1151.11</v>
      </c>
      <c r="J223" s="0" t="n">
        <v>660.44</v>
      </c>
      <c r="K223" s="0" t="n">
        <v>490.67</v>
      </c>
      <c r="L223" s="0" t="s">
        <v>52</v>
      </c>
    </row>
    <row r="224" customFormat="false" ht="15" hidden="false" customHeight="false" outlineLevel="0" collapsed="false">
      <c r="A224" s="0" t="n">
        <v>526403</v>
      </c>
      <c r="B224" s="0" t="s">
        <v>391</v>
      </c>
      <c r="C224" s="0" t="s">
        <v>19</v>
      </c>
      <c r="D224" s="0" t="s">
        <v>37</v>
      </c>
      <c r="E224" s="0" t="s">
        <v>21</v>
      </c>
      <c r="F224" s="0" t="s">
        <v>287</v>
      </c>
      <c r="G224" s="0" t="n">
        <v>2</v>
      </c>
      <c r="H224" s="0" t="n">
        <v>275.67</v>
      </c>
      <c r="I224" s="0" t="n">
        <v>551.34</v>
      </c>
      <c r="J224" s="0" t="n">
        <v>311.14</v>
      </c>
      <c r="K224" s="0" t="n">
        <v>240.2</v>
      </c>
      <c r="L224" s="0" t="s">
        <v>42</v>
      </c>
    </row>
    <row r="225" customFormat="false" ht="15" hidden="false" customHeight="false" outlineLevel="0" collapsed="false">
      <c r="A225" s="0" t="n">
        <v>532232</v>
      </c>
      <c r="B225" s="0" t="s">
        <v>392</v>
      </c>
      <c r="C225" s="0" t="s">
        <v>19</v>
      </c>
      <c r="D225" s="0" t="s">
        <v>25</v>
      </c>
      <c r="E225" s="0" t="s">
        <v>21</v>
      </c>
      <c r="F225" s="0" t="s">
        <v>69</v>
      </c>
      <c r="G225" s="0" t="n">
        <v>1</v>
      </c>
      <c r="H225" s="0" t="n">
        <v>158.06</v>
      </c>
      <c r="I225" s="0" t="n">
        <v>158.06</v>
      </c>
      <c r="J225" s="0" t="n">
        <v>86.99</v>
      </c>
      <c r="K225" s="0" t="n">
        <v>71.07</v>
      </c>
      <c r="L225" s="0" t="s">
        <v>45</v>
      </c>
    </row>
    <row r="226" customFormat="false" ht="15" hidden="false" customHeight="false" outlineLevel="0" collapsed="false">
      <c r="A226" s="0" t="n">
        <v>519354</v>
      </c>
      <c r="B226" s="0" t="s">
        <v>393</v>
      </c>
      <c r="C226" s="0" t="s">
        <v>19</v>
      </c>
      <c r="D226" s="0" t="s">
        <v>33</v>
      </c>
      <c r="E226" s="0" t="s">
        <v>50</v>
      </c>
      <c r="F226" s="0" t="s">
        <v>166</v>
      </c>
      <c r="G226" s="0" t="n">
        <v>1</v>
      </c>
      <c r="H226" s="0" t="n">
        <v>304.97</v>
      </c>
      <c r="I226" s="0" t="n">
        <v>304.97</v>
      </c>
      <c r="J226" s="0" t="n">
        <v>171.82</v>
      </c>
      <c r="K226" s="0" t="n">
        <v>133.15</v>
      </c>
      <c r="L226" s="0" t="s">
        <v>198</v>
      </c>
    </row>
    <row r="227" customFormat="false" ht="15" hidden="false" customHeight="false" outlineLevel="0" collapsed="false">
      <c r="A227" s="0" t="n">
        <v>537023</v>
      </c>
      <c r="B227" s="0" t="s">
        <v>174</v>
      </c>
      <c r="C227" s="0" t="s">
        <v>19</v>
      </c>
      <c r="D227" s="0" t="s">
        <v>37</v>
      </c>
      <c r="E227" s="0" t="s">
        <v>59</v>
      </c>
      <c r="F227" s="0" t="s">
        <v>394</v>
      </c>
      <c r="G227" s="0" t="n">
        <v>1</v>
      </c>
      <c r="H227" s="0" t="n">
        <v>79.66</v>
      </c>
      <c r="I227" s="0" t="n">
        <v>79.66</v>
      </c>
      <c r="J227" s="0" t="n">
        <v>47.07</v>
      </c>
      <c r="K227" s="0" t="n">
        <v>32.59</v>
      </c>
      <c r="L227" s="0" t="s">
        <v>64</v>
      </c>
    </row>
    <row r="228" customFormat="false" ht="15" hidden="false" customHeight="false" outlineLevel="0" collapsed="false">
      <c r="A228" s="0" t="n">
        <v>501887</v>
      </c>
      <c r="B228" s="0" t="s">
        <v>395</v>
      </c>
      <c r="C228" s="0" t="s">
        <v>19</v>
      </c>
      <c r="D228" s="0" t="s">
        <v>25</v>
      </c>
      <c r="E228" s="0" t="s">
        <v>50</v>
      </c>
      <c r="F228" s="0" t="s">
        <v>396</v>
      </c>
      <c r="G228" s="0" t="n">
        <v>4</v>
      </c>
      <c r="H228" s="0" t="n">
        <v>148.98</v>
      </c>
      <c r="I228" s="0" t="n">
        <v>595.92</v>
      </c>
      <c r="J228" s="0" t="n">
        <v>348.28</v>
      </c>
      <c r="K228" s="0" t="n">
        <v>247.64</v>
      </c>
      <c r="L228" s="0" t="s">
        <v>61</v>
      </c>
    </row>
    <row r="229" customFormat="false" ht="15" hidden="false" customHeight="false" outlineLevel="0" collapsed="false">
      <c r="A229" s="0" t="n">
        <v>505965</v>
      </c>
      <c r="B229" s="0" t="s">
        <v>397</v>
      </c>
      <c r="C229" s="0" t="s">
        <v>19</v>
      </c>
      <c r="D229" s="0" t="s">
        <v>54</v>
      </c>
      <c r="E229" s="0" t="s">
        <v>55</v>
      </c>
      <c r="F229" s="0" t="s">
        <v>87</v>
      </c>
      <c r="G229" s="0" t="n">
        <v>1</v>
      </c>
      <c r="H229" s="0" t="n">
        <v>63.85</v>
      </c>
      <c r="I229" s="0" t="n">
        <v>63.85</v>
      </c>
      <c r="J229" s="0" t="n">
        <v>35.13</v>
      </c>
      <c r="K229" s="0" t="n">
        <v>28.72</v>
      </c>
      <c r="L229" s="0" t="s">
        <v>148</v>
      </c>
    </row>
    <row r="230" customFormat="false" ht="15" hidden="false" customHeight="false" outlineLevel="0" collapsed="false">
      <c r="A230" s="0" t="n">
        <v>536471</v>
      </c>
      <c r="B230" s="0" t="s">
        <v>62</v>
      </c>
      <c r="C230" s="0" t="s">
        <v>19</v>
      </c>
      <c r="D230" s="0" t="s">
        <v>25</v>
      </c>
      <c r="E230" s="0" t="s">
        <v>47</v>
      </c>
      <c r="F230" s="0" t="s">
        <v>385</v>
      </c>
      <c r="G230" s="0" t="n">
        <v>1</v>
      </c>
      <c r="H230" s="0" t="n">
        <v>655.74</v>
      </c>
      <c r="I230" s="0" t="n">
        <v>655.74</v>
      </c>
      <c r="J230" s="0" t="n">
        <v>382.39</v>
      </c>
      <c r="K230" s="0" t="n">
        <v>273.35</v>
      </c>
      <c r="L230" s="0" t="s">
        <v>64</v>
      </c>
    </row>
    <row r="231" customFormat="false" ht="15" hidden="false" customHeight="false" outlineLevel="0" collapsed="false">
      <c r="A231" s="0" t="n">
        <v>536749</v>
      </c>
      <c r="B231" s="0" t="s">
        <v>398</v>
      </c>
      <c r="C231" s="0" t="s">
        <v>19</v>
      </c>
      <c r="D231" s="0" t="s">
        <v>37</v>
      </c>
      <c r="E231" s="0" t="s">
        <v>21</v>
      </c>
      <c r="F231" s="0" t="s">
        <v>247</v>
      </c>
      <c r="G231" s="0" t="n">
        <v>3</v>
      </c>
      <c r="H231" s="0" t="n">
        <v>255.47</v>
      </c>
      <c r="I231" s="0" t="n">
        <v>766.41</v>
      </c>
      <c r="J231" s="0" t="n">
        <v>441.27</v>
      </c>
      <c r="K231" s="0" t="n">
        <v>325.14</v>
      </c>
      <c r="L231" s="0" t="s">
        <v>64</v>
      </c>
    </row>
    <row r="232" customFormat="false" ht="15" hidden="false" customHeight="false" outlineLevel="0" collapsed="false">
      <c r="A232" s="0" t="n">
        <v>508942</v>
      </c>
      <c r="B232" s="0" t="s">
        <v>36</v>
      </c>
      <c r="C232" s="0" t="s">
        <v>19</v>
      </c>
      <c r="D232" s="0" t="s">
        <v>20</v>
      </c>
      <c r="E232" s="0" t="s">
        <v>21</v>
      </c>
      <c r="F232" s="0" t="s">
        <v>22</v>
      </c>
      <c r="G232" s="0" t="n">
        <v>1</v>
      </c>
      <c r="H232" s="0" t="n">
        <v>90.59</v>
      </c>
      <c r="I232" s="0" t="n">
        <v>90.59</v>
      </c>
      <c r="J232" s="0" t="n">
        <v>51.27</v>
      </c>
      <c r="K232" s="0" t="n">
        <v>39.32</v>
      </c>
      <c r="L232" s="0" t="s">
        <v>39</v>
      </c>
    </row>
    <row r="233" customFormat="false" ht="15" hidden="false" customHeight="false" outlineLevel="0" collapsed="false">
      <c r="A233" s="0" t="n">
        <v>507735</v>
      </c>
      <c r="B233" s="0" t="s">
        <v>121</v>
      </c>
      <c r="C233" s="0" t="s">
        <v>19</v>
      </c>
      <c r="D233" s="0" t="s">
        <v>25</v>
      </c>
      <c r="E233" s="0" t="s">
        <v>55</v>
      </c>
      <c r="F233" s="0" t="s">
        <v>321</v>
      </c>
      <c r="G233" s="0" t="n">
        <v>2</v>
      </c>
      <c r="H233" s="0" t="n">
        <v>28.59</v>
      </c>
      <c r="I233" s="0" t="n">
        <v>57.18</v>
      </c>
      <c r="J233" s="0" t="n">
        <v>31.66</v>
      </c>
      <c r="K233" s="0" t="n">
        <v>25.52</v>
      </c>
      <c r="L233" s="0" t="s">
        <v>39</v>
      </c>
    </row>
    <row r="234" customFormat="false" ht="15" hidden="false" customHeight="false" outlineLevel="0" collapsed="false">
      <c r="A234" s="0" t="n">
        <v>515008</v>
      </c>
      <c r="B234" s="0" t="s">
        <v>399</v>
      </c>
      <c r="C234" s="0" t="s">
        <v>19</v>
      </c>
      <c r="D234" s="0" t="s">
        <v>37</v>
      </c>
      <c r="E234" s="0" t="s">
        <v>59</v>
      </c>
      <c r="F234" s="0" t="s">
        <v>124</v>
      </c>
      <c r="G234" s="0" t="n">
        <v>1</v>
      </c>
      <c r="H234" s="0" t="n">
        <v>226.78</v>
      </c>
      <c r="I234" s="0" t="n">
        <v>226.78</v>
      </c>
      <c r="J234" s="0" t="n">
        <v>130.66</v>
      </c>
      <c r="K234" s="0" t="n">
        <v>96.12</v>
      </c>
      <c r="L234" s="0" t="s">
        <v>97</v>
      </c>
    </row>
    <row r="235" customFormat="false" ht="15" hidden="false" customHeight="false" outlineLevel="0" collapsed="false">
      <c r="A235" s="0" t="n">
        <v>507765</v>
      </c>
      <c r="B235" s="0" t="s">
        <v>121</v>
      </c>
      <c r="C235" s="0" t="s">
        <v>19</v>
      </c>
      <c r="D235" s="0" t="s">
        <v>25</v>
      </c>
      <c r="E235" s="0" t="s">
        <v>59</v>
      </c>
      <c r="F235" s="0" t="s">
        <v>394</v>
      </c>
      <c r="G235" s="0" t="n">
        <v>1</v>
      </c>
      <c r="H235" s="0" t="n">
        <v>84.93</v>
      </c>
      <c r="I235" s="0" t="n">
        <v>84.93</v>
      </c>
      <c r="J235" s="0" t="n">
        <v>47.07</v>
      </c>
      <c r="K235" s="0" t="n">
        <v>37.86</v>
      </c>
      <c r="L235" s="0" t="s">
        <v>39</v>
      </c>
    </row>
    <row r="236" customFormat="false" ht="15" hidden="false" customHeight="false" outlineLevel="0" collapsed="false">
      <c r="A236" s="0" t="n">
        <v>528891</v>
      </c>
      <c r="B236" s="0" t="s">
        <v>400</v>
      </c>
      <c r="C236" s="0" t="s">
        <v>19</v>
      </c>
      <c r="D236" s="0" t="s">
        <v>33</v>
      </c>
      <c r="E236" s="0" t="s">
        <v>21</v>
      </c>
      <c r="F236" s="0" t="s">
        <v>292</v>
      </c>
      <c r="G236" s="0" t="n">
        <v>1</v>
      </c>
      <c r="H236" s="0" t="n">
        <v>123.51</v>
      </c>
      <c r="I236" s="0" t="n">
        <v>123.51</v>
      </c>
      <c r="J236" s="0" t="n">
        <v>70.28</v>
      </c>
      <c r="K236" s="0" t="n">
        <v>53.23</v>
      </c>
      <c r="L236" s="0" t="s">
        <v>214</v>
      </c>
    </row>
    <row r="237" customFormat="false" ht="15" hidden="false" customHeight="false" outlineLevel="0" collapsed="false">
      <c r="A237" s="0" t="n">
        <v>500459</v>
      </c>
      <c r="B237" s="0" t="s">
        <v>401</v>
      </c>
      <c r="C237" s="0" t="s">
        <v>19</v>
      </c>
      <c r="D237" s="0" t="s">
        <v>37</v>
      </c>
      <c r="E237" s="0" t="s">
        <v>50</v>
      </c>
      <c r="F237" s="0" t="s">
        <v>358</v>
      </c>
      <c r="G237" s="0" t="n">
        <v>1</v>
      </c>
      <c r="H237" s="0" t="n">
        <v>207.92</v>
      </c>
      <c r="I237" s="0" t="n">
        <v>207.92</v>
      </c>
      <c r="J237" s="0" t="n">
        <v>116.12</v>
      </c>
      <c r="K237" s="0" t="n">
        <v>91.8</v>
      </c>
      <c r="L237" s="0" t="s">
        <v>82</v>
      </c>
    </row>
    <row r="238" customFormat="false" ht="15" hidden="false" customHeight="false" outlineLevel="0" collapsed="false">
      <c r="A238" s="0" t="n">
        <v>527631</v>
      </c>
      <c r="B238" s="0" t="s">
        <v>201</v>
      </c>
      <c r="C238" s="0" t="s">
        <v>19</v>
      </c>
      <c r="D238" s="0" t="s">
        <v>25</v>
      </c>
      <c r="E238" s="0" t="s">
        <v>55</v>
      </c>
      <c r="F238" s="0" t="s">
        <v>402</v>
      </c>
      <c r="G238" s="0" t="n">
        <v>2</v>
      </c>
      <c r="H238" s="0" t="n">
        <v>192.53</v>
      </c>
      <c r="I238" s="0" t="n">
        <v>385.06</v>
      </c>
      <c r="J238" s="0" t="n">
        <v>224.74</v>
      </c>
      <c r="K238" s="0" t="n">
        <v>160.32</v>
      </c>
      <c r="L238" s="0" t="s">
        <v>52</v>
      </c>
    </row>
    <row r="239" customFormat="false" ht="15" hidden="false" customHeight="false" outlineLevel="0" collapsed="false">
      <c r="A239" s="0" t="n">
        <v>526021</v>
      </c>
      <c r="B239" s="0" t="s">
        <v>403</v>
      </c>
      <c r="C239" s="0" t="s">
        <v>19</v>
      </c>
      <c r="D239" s="0" t="s">
        <v>54</v>
      </c>
      <c r="E239" s="0" t="s">
        <v>21</v>
      </c>
      <c r="F239" s="0" t="s">
        <v>41</v>
      </c>
      <c r="G239" s="0" t="n">
        <v>2</v>
      </c>
      <c r="H239" s="0" t="n">
        <v>157.92</v>
      </c>
      <c r="I239" s="0" t="n">
        <v>315.84</v>
      </c>
      <c r="J239" s="0" t="n">
        <v>176.9</v>
      </c>
      <c r="K239" s="0" t="n">
        <v>138.94</v>
      </c>
      <c r="L239" s="0" t="s">
        <v>42</v>
      </c>
    </row>
    <row r="240" customFormat="false" ht="15" hidden="false" customHeight="false" outlineLevel="0" collapsed="false">
      <c r="A240" s="0" t="n">
        <v>509831</v>
      </c>
      <c r="B240" s="0" t="s">
        <v>404</v>
      </c>
      <c r="C240" s="0" t="s">
        <v>19</v>
      </c>
      <c r="D240" s="0" t="s">
        <v>20</v>
      </c>
      <c r="E240" s="0" t="s">
        <v>21</v>
      </c>
      <c r="F240" s="0" t="s">
        <v>26</v>
      </c>
      <c r="G240" s="0" t="n">
        <v>1</v>
      </c>
      <c r="H240" s="0" t="n">
        <v>878.32</v>
      </c>
      <c r="I240" s="0" t="n">
        <v>878.32</v>
      </c>
      <c r="J240" s="0" t="n">
        <v>502.55</v>
      </c>
      <c r="K240" s="0" t="n">
        <v>375.77</v>
      </c>
      <c r="L240" s="0" t="s">
        <v>130</v>
      </c>
    </row>
    <row r="241" customFormat="false" ht="15" hidden="false" customHeight="false" outlineLevel="0" collapsed="false">
      <c r="A241" s="0" t="n">
        <v>518838</v>
      </c>
      <c r="B241" s="0" t="s">
        <v>405</v>
      </c>
      <c r="C241" s="0" t="s">
        <v>19</v>
      </c>
      <c r="D241" s="0" t="s">
        <v>37</v>
      </c>
      <c r="E241" s="0" t="s">
        <v>21</v>
      </c>
      <c r="F241" s="0" t="s">
        <v>374</v>
      </c>
      <c r="G241" s="0" t="n">
        <v>1</v>
      </c>
      <c r="H241" s="0" t="n">
        <v>1276.08</v>
      </c>
      <c r="I241" s="0" t="n">
        <v>1276.08</v>
      </c>
      <c r="J241" s="0" t="n">
        <v>721.88</v>
      </c>
      <c r="K241" s="0" t="n">
        <v>554.2</v>
      </c>
      <c r="L241" s="0" t="s">
        <v>198</v>
      </c>
    </row>
    <row r="242" customFormat="false" ht="15" hidden="false" customHeight="false" outlineLevel="0" collapsed="false">
      <c r="A242" s="0" t="n">
        <v>531342</v>
      </c>
      <c r="B242" s="0" t="s">
        <v>406</v>
      </c>
      <c r="C242" s="0" t="s">
        <v>19</v>
      </c>
      <c r="D242" s="0" t="s">
        <v>54</v>
      </c>
      <c r="E242" s="0" t="s">
        <v>21</v>
      </c>
      <c r="F242" s="0" t="s">
        <v>305</v>
      </c>
      <c r="G242" s="0" t="n">
        <v>1</v>
      </c>
      <c r="H242" s="0" t="n">
        <v>311</v>
      </c>
      <c r="I242" s="0" t="n">
        <v>311</v>
      </c>
      <c r="J242" s="0" t="n">
        <v>173.18</v>
      </c>
      <c r="K242" s="0" t="n">
        <v>137.82</v>
      </c>
      <c r="L242" s="0" t="s">
        <v>45</v>
      </c>
    </row>
    <row r="243" customFormat="false" ht="15" hidden="false" customHeight="false" outlineLevel="0" collapsed="false">
      <c r="A243" s="0" t="n">
        <v>510750</v>
      </c>
      <c r="B243" s="0" t="s">
        <v>217</v>
      </c>
      <c r="C243" s="0" t="s">
        <v>19</v>
      </c>
      <c r="D243" s="0" t="s">
        <v>54</v>
      </c>
      <c r="E243" s="0" t="s">
        <v>21</v>
      </c>
      <c r="F243" s="0" t="s">
        <v>247</v>
      </c>
      <c r="G243" s="0" t="n">
        <v>1</v>
      </c>
      <c r="H243" s="0" t="n">
        <v>261.5</v>
      </c>
      <c r="I243" s="0" t="n">
        <v>261.5</v>
      </c>
      <c r="J243" s="0" t="n">
        <v>147.09</v>
      </c>
      <c r="K243" s="0" t="n">
        <v>114.41</v>
      </c>
      <c r="L243" s="0" t="s">
        <v>130</v>
      </c>
    </row>
    <row r="244" customFormat="false" ht="15" hidden="false" customHeight="false" outlineLevel="0" collapsed="false">
      <c r="A244" s="0" t="n">
        <v>521946</v>
      </c>
      <c r="B244" s="0" t="s">
        <v>407</v>
      </c>
      <c r="C244" s="0" t="s">
        <v>19</v>
      </c>
      <c r="D244" s="0" t="s">
        <v>33</v>
      </c>
      <c r="E244" s="0" t="s">
        <v>59</v>
      </c>
      <c r="F244" s="0" t="s">
        <v>408</v>
      </c>
      <c r="G244" s="0" t="n">
        <v>3</v>
      </c>
      <c r="H244" s="0" t="n">
        <v>239.59</v>
      </c>
      <c r="I244" s="0" t="n">
        <v>718.77</v>
      </c>
      <c r="J244" s="0" t="n">
        <v>428.82</v>
      </c>
      <c r="K244" s="0" t="n">
        <v>289.95</v>
      </c>
      <c r="L244" s="0" t="s">
        <v>76</v>
      </c>
    </row>
    <row r="245" customFormat="false" ht="15" hidden="false" customHeight="false" outlineLevel="0" collapsed="false">
      <c r="A245" s="0" t="n">
        <v>521355</v>
      </c>
      <c r="B245" s="0" t="s">
        <v>409</v>
      </c>
      <c r="C245" s="0" t="s">
        <v>19</v>
      </c>
      <c r="D245" s="0" t="s">
        <v>25</v>
      </c>
      <c r="E245" s="0" t="s">
        <v>29</v>
      </c>
      <c r="F245" s="0" t="s">
        <v>90</v>
      </c>
      <c r="G245" s="0" t="n">
        <v>2</v>
      </c>
      <c r="H245" s="0" t="n">
        <v>764.65</v>
      </c>
      <c r="I245" s="0" t="n">
        <v>1529.3</v>
      </c>
      <c r="J245" s="0" t="n">
        <v>898.42</v>
      </c>
      <c r="K245" s="0" t="n">
        <v>630.88</v>
      </c>
      <c r="L245" s="0" t="s">
        <v>23</v>
      </c>
    </row>
    <row r="246" customFormat="false" ht="15" hidden="false" customHeight="false" outlineLevel="0" collapsed="false">
      <c r="A246" s="0" t="n">
        <v>533962</v>
      </c>
      <c r="B246" s="0" t="s">
        <v>410</v>
      </c>
      <c r="C246" s="0" t="s">
        <v>19</v>
      </c>
      <c r="D246" s="0" t="s">
        <v>37</v>
      </c>
      <c r="E246" s="0" t="s">
        <v>21</v>
      </c>
      <c r="F246" s="0" t="s">
        <v>208</v>
      </c>
      <c r="G246" s="0" t="n">
        <v>1</v>
      </c>
      <c r="H246" s="0" t="n">
        <v>640.82</v>
      </c>
      <c r="I246" s="0" t="n">
        <v>640.82</v>
      </c>
      <c r="J246" s="0" t="n">
        <v>369.97</v>
      </c>
      <c r="K246" s="0" t="n">
        <v>270.85</v>
      </c>
      <c r="L246" s="0" t="s">
        <v>70</v>
      </c>
    </row>
    <row r="247" customFormat="false" ht="15" hidden="false" customHeight="false" outlineLevel="0" collapsed="false">
      <c r="A247" s="0" t="n">
        <v>504647</v>
      </c>
      <c r="B247" s="0" t="s">
        <v>411</v>
      </c>
      <c r="C247" s="0" t="s">
        <v>19</v>
      </c>
      <c r="D247" s="0" t="s">
        <v>33</v>
      </c>
      <c r="E247" s="0" t="s">
        <v>21</v>
      </c>
      <c r="F247" s="0" t="s">
        <v>412</v>
      </c>
      <c r="G247" s="0" t="n">
        <v>1</v>
      </c>
      <c r="H247" s="0" t="n">
        <v>407.52</v>
      </c>
      <c r="I247" s="0" t="n">
        <v>407.52</v>
      </c>
      <c r="J247" s="0" t="n">
        <v>229.64</v>
      </c>
      <c r="K247" s="0" t="n">
        <v>177.88</v>
      </c>
      <c r="L247" s="0" t="s">
        <v>252</v>
      </c>
    </row>
    <row r="248" customFormat="false" ht="15" hidden="false" customHeight="false" outlineLevel="0" collapsed="false">
      <c r="A248" s="0" t="n">
        <v>520086</v>
      </c>
      <c r="B248" s="0" t="s">
        <v>192</v>
      </c>
      <c r="C248" s="0" t="s">
        <v>19</v>
      </c>
      <c r="D248" s="0" t="s">
        <v>25</v>
      </c>
      <c r="E248" s="0" t="s">
        <v>59</v>
      </c>
      <c r="F248" s="0" t="s">
        <v>129</v>
      </c>
      <c r="G248" s="0" t="n">
        <v>1</v>
      </c>
      <c r="H248" s="0" t="n">
        <v>120.11</v>
      </c>
      <c r="I248" s="0" t="n">
        <v>120.11</v>
      </c>
      <c r="J248" s="0" t="n">
        <v>71.58</v>
      </c>
      <c r="K248" s="0" t="n">
        <v>48.53</v>
      </c>
      <c r="L248" s="0" t="s">
        <v>23</v>
      </c>
    </row>
    <row r="249" customFormat="false" ht="15" hidden="false" customHeight="false" outlineLevel="0" collapsed="false">
      <c r="A249" s="0" t="n">
        <v>531770</v>
      </c>
      <c r="B249" s="0" t="s">
        <v>413</v>
      </c>
      <c r="C249" s="0" t="s">
        <v>19</v>
      </c>
      <c r="D249" s="0" t="s">
        <v>54</v>
      </c>
      <c r="E249" s="0" t="s">
        <v>50</v>
      </c>
      <c r="F249" s="0" t="s">
        <v>273</v>
      </c>
      <c r="G249" s="0" t="n">
        <v>3</v>
      </c>
      <c r="H249" s="0" t="n">
        <v>241.3</v>
      </c>
      <c r="I249" s="0" t="n">
        <v>723.9</v>
      </c>
      <c r="J249" s="0" t="n">
        <v>416.19</v>
      </c>
      <c r="K249" s="0" t="n">
        <v>307.71</v>
      </c>
      <c r="L249" s="0" t="s">
        <v>45</v>
      </c>
    </row>
    <row r="250" customFormat="false" ht="15" hidden="false" customHeight="false" outlineLevel="0" collapsed="false">
      <c r="A250" s="0" t="n">
        <v>524830</v>
      </c>
      <c r="B250" s="0" t="s">
        <v>232</v>
      </c>
      <c r="C250" s="0" t="s">
        <v>19</v>
      </c>
      <c r="D250" s="0" t="s">
        <v>33</v>
      </c>
      <c r="E250" s="0" t="s">
        <v>59</v>
      </c>
      <c r="F250" s="0" t="s">
        <v>414</v>
      </c>
      <c r="G250" s="0" t="n">
        <v>2</v>
      </c>
      <c r="H250" s="0" t="n">
        <v>133.03</v>
      </c>
      <c r="I250" s="0" t="n">
        <v>266.06</v>
      </c>
      <c r="J250" s="0" t="n">
        <v>149.02</v>
      </c>
      <c r="K250" s="0" t="n">
        <v>117.04</v>
      </c>
      <c r="L250" s="0" t="s">
        <v>127</v>
      </c>
    </row>
    <row r="251" customFormat="false" ht="15" hidden="false" customHeight="false" outlineLevel="0" collapsed="false">
      <c r="A251" s="0" t="n">
        <v>512426</v>
      </c>
      <c r="B251" s="0" t="s">
        <v>415</v>
      </c>
      <c r="C251" s="0" t="s">
        <v>19</v>
      </c>
      <c r="D251" s="0" t="s">
        <v>37</v>
      </c>
      <c r="E251" s="0" t="s">
        <v>50</v>
      </c>
      <c r="F251" s="0" t="s">
        <v>202</v>
      </c>
      <c r="G251" s="0" t="n">
        <v>3</v>
      </c>
      <c r="H251" s="0" t="n">
        <v>266.14</v>
      </c>
      <c r="I251" s="0" t="n">
        <v>798.42</v>
      </c>
      <c r="J251" s="0" t="n">
        <v>467.34</v>
      </c>
      <c r="K251" s="0" t="n">
        <v>331.08</v>
      </c>
      <c r="L251" s="0" t="s">
        <v>243</v>
      </c>
    </row>
    <row r="252" customFormat="false" ht="15" hidden="false" customHeight="false" outlineLevel="0" collapsed="false">
      <c r="A252" s="0" t="n">
        <v>508380</v>
      </c>
      <c r="B252" s="0" t="s">
        <v>267</v>
      </c>
      <c r="C252" s="0" t="s">
        <v>19</v>
      </c>
      <c r="D252" s="0" t="s">
        <v>54</v>
      </c>
      <c r="E252" s="0" t="s">
        <v>47</v>
      </c>
      <c r="F252" s="0" t="s">
        <v>385</v>
      </c>
      <c r="G252" s="0" t="n">
        <v>4</v>
      </c>
      <c r="H252" s="0" t="n">
        <v>695.05</v>
      </c>
      <c r="I252" s="0" t="n">
        <v>2780.2</v>
      </c>
      <c r="J252" s="0" t="n">
        <v>1529.56</v>
      </c>
      <c r="K252" s="0" t="n">
        <v>1250.64</v>
      </c>
      <c r="L252" s="0" t="s">
        <v>39</v>
      </c>
    </row>
    <row r="253" customFormat="false" ht="15" hidden="false" customHeight="false" outlineLevel="0" collapsed="false">
      <c r="A253" s="0" t="n">
        <v>536363</v>
      </c>
      <c r="B253" s="0" t="s">
        <v>416</v>
      </c>
      <c r="C253" s="0" t="s">
        <v>19</v>
      </c>
      <c r="D253" s="0" t="s">
        <v>25</v>
      </c>
      <c r="E253" s="0" t="s">
        <v>21</v>
      </c>
      <c r="F253" s="0" t="s">
        <v>344</v>
      </c>
      <c r="G253" s="0" t="n">
        <v>1</v>
      </c>
      <c r="H253" s="0" t="n">
        <v>1253.35</v>
      </c>
      <c r="I253" s="0" t="n">
        <v>1253.35</v>
      </c>
      <c r="J253" s="0" t="n">
        <v>724.99</v>
      </c>
      <c r="K253" s="0" t="n">
        <v>528.36</v>
      </c>
      <c r="L253" s="0" t="s">
        <v>64</v>
      </c>
    </row>
    <row r="254" customFormat="false" ht="15" hidden="false" customHeight="false" outlineLevel="0" collapsed="false">
      <c r="A254" s="0" t="n">
        <v>506345</v>
      </c>
      <c r="B254" s="0" t="s">
        <v>417</v>
      </c>
      <c r="C254" s="0" t="s">
        <v>19</v>
      </c>
      <c r="D254" s="0" t="s">
        <v>54</v>
      </c>
      <c r="E254" s="0" t="s">
        <v>29</v>
      </c>
      <c r="F254" s="0" t="s">
        <v>418</v>
      </c>
      <c r="G254" s="0" t="n">
        <v>1</v>
      </c>
      <c r="H254" s="0" t="n">
        <v>805.44</v>
      </c>
      <c r="I254" s="0" t="n">
        <v>805.44</v>
      </c>
      <c r="J254" s="0" t="n">
        <v>444.27</v>
      </c>
      <c r="K254" s="0" t="n">
        <v>361.17</v>
      </c>
      <c r="L254" s="0" t="s">
        <v>148</v>
      </c>
    </row>
    <row r="255" customFormat="false" ht="15" hidden="false" customHeight="false" outlineLevel="0" collapsed="false">
      <c r="A255" s="0" t="n">
        <v>522742</v>
      </c>
      <c r="B255" s="0" t="s">
        <v>419</v>
      </c>
      <c r="C255" s="0" t="s">
        <v>19</v>
      </c>
      <c r="D255" s="0" t="s">
        <v>37</v>
      </c>
      <c r="E255" s="0" t="s">
        <v>59</v>
      </c>
      <c r="F255" s="0" t="s">
        <v>210</v>
      </c>
      <c r="G255" s="0" t="n">
        <v>1</v>
      </c>
      <c r="H255" s="0" t="n">
        <v>54.47</v>
      </c>
      <c r="I255" s="0" t="n">
        <v>54.47</v>
      </c>
      <c r="J255" s="0" t="n">
        <v>32.43</v>
      </c>
      <c r="K255" s="0" t="n">
        <v>22.04</v>
      </c>
      <c r="L255" s="0" t="s">
        <v>76</v>
      </c>
    </row>
    <row r="256" customFormat="false" ht="15" hidden="false" customHeight="false" outlineLevel="0" collapsed="false">
      <c r="A256" s="0" t="n">
        <v>509219</v>
      </c>
      <c r="B256" s="0" t="s">
        <v>420</v>
      </c>
      <c r="C256" s="0" t="s">
        <v>19</v>
      </c>
      <c r="D256" s="0" t="s">
        <v>20</v>
      </c>
      <c r="E256" s="0" t="s">
        <v>50</v>
      </c>
      <c r="F256" s="0" t="s">
        <v>421</v>
      </c>
      <c r="G256" s="0" t="n">
        <v>1</v>
      </c>
      <c r="H256" s="0" t="n">
        <v>211.17</v>
      </c>
      <c r="I256" s="0" t="n">
        <v>211.17</v>
      </c>
      <c r="J256" s="0" t="n">
        <v>122.33</v>
      </c>
      <c r="K256" s="0" t="n">
        <v>88.84</v>
      </c>
      <c r="L256" s="0" t="s">
        <v>130</v>
      </c>
    </row>
    <row r="257" customFormat="false" ht="15" hidden="false" customHeight="false" outlineLevel="0" collapsed="false">
      <c r="A257" s="0" t="n">
        <v>510673</v>
      </c>
      <c r="B257" s="0" t="s">
        <v>422</v>
      </c>
      <c r="C257" s="0" t="s">
        <v>19</v>
      </c>
      <c r="D257" s="0" t="s">
        <v>54</v>
      </c>
      <c r="E257" s="0" t="s">
        <v>47</v>
      </c>
      <c r="F257" s="0" t="s">
        <v>376</v>
      </c>
      <c r="G257" s="0" t="n">
        <v>1</v>
      </c>
      <c r="H257" s="0" t="n">
        <v>497.96</v>
      </c>
      <c r="I257" s="0" t="n">
        <v>497.96</v>
      </c>
      <c r="J257" s="0" t="n">
        <v>294.47</v>
      </c>
      <c r="K257" s="0" t="n">
        <v>203.49</v>
      </c>
      <c r="L257" s="0" t="s">
        <v>130</v>
      </c>
    </row>
    <row r="258" customFormat="false" ht="15" hidden="false" customHeight="false" outlineLevel="0" collapsed="false">
      <c r="A258" s="0" t="n">
        <v>521507</v>
      </c>
      <c r="B258" s="0" t="s">
        <v>423</v>
      </c>
      <c r="C258" s="0" t="s">
        <v>19</v>
      </c>
      <c r="D258" s="0" t="s">
        <v>37</v>
      </c>
      <c r="E258" s="0" t="s">
        <v>21</v>
      </c>
      <c r="F258" s="0" t="s">
        <v>344</v>
      </c>
      <c r="G258" s="0" t="n">
        <v>3</v>
      </c>
      <c r="H258" s="0" t="n">
        <v>1217.3</v>
      </c>
      <c r="I258" s="0" t="n">
        <v>3651.9</v>
      </c>
      <c r="J258" s="0" t="n">
        <v>2174.97</v>
      </c>
      <c r="K258" s="0" t="n">
        <v>1476.93</v>
      </c>
      <c r="L258" s="0" t="s">
        <v>23</v>
      </c>
    </row>
    <row r="259" customFormat="false" ht="15" hidden="false" customHeight="false" outlineLevel="0" collapsed="false">
      <c r="A259" s="0" t="n">
        <v>507538</v>
      </c>
      <c r="B259" s="0" t="s">
        <v>424</v>
      </c>
      <c r="C259" s="0" t="s">
        <v>19</v>
      </c>
      <c r="D259" s="0" t="s">
        <v>37</v>
      </c>
      <c r="E259" s="0" t="s">
        <v>50</v>
      </c>
      <c r="F259" s="0" t="s">
        <v>120</v>
      </c>
      <c r="G259" s="0" t="n">
        <v>3</v>
      </c>
      <c r="H259" s="0" t="n">
        <v>86.95</v>
      </c>
      <c r="I259" s="0" t="n">
        <v>260.85</v>
      </c>
      <c r="J259" s="0" t="n">
        <v>146.91</v>
      </c>
      <c r="K259" s="0" t="n">
        <v>113.94</v>
      </c>
      <c r="L259" s="0" t="s">
        <v>39</v>
      </c>
    </row>
    <row r="260" customFormat="false" ht="15" hidden="false" customHeight="false" outlineLevel="0" collapsed="false">
      <c r="A260" s="0" t="n">
        <v>515433</v>
      </c>
      <c r="B260" s="0" t="s">
        <v>425</v>
      </c>
      <c r="C260" s="0" t="s">
        <v>19</v>
      </c>
      <c r="D260" s="0" t="s">
        <v>20</v>
      </c>
      <c r="E260" s="0" t="s">
        <v>55</v>
      </c>
      <c r="F260" s="0" t="s">
        <v>197</v>
      </c>
      <c r="G260" s="0" t="n">
        <v>1</v>
      </c>
      <c r="H260" s="0" t="n">
        <v>72.52</v>
      </c>
      <c r="I260" s="0" t="n">
        <v>72.52</v>
      </c>
      <c r="J260" s="0" t="n">
        <v>42.81</v>
      </c>
      <c r="K260" s="0" t="n">
        <v>29.71</v>
      </c>
      <c r="L260" s="0" t="s">
        <v>97</v>
      </c>
    </row>
    <row r="261" customFormat="false" ht="15" hidden="false" customHeight="false" outlineLevel="0" collapsed="false">
      <c r="A261" s="0" t="n">
        <v>516777</v>
      </c>
      <c r="B261" s="0" t="s">
        <v>426</v>
      </c>
      <c r="C261" s="0" t="s">
        <v>19</v>
      </c>
      <c r="D261" s="0" t="s">
        <v>20</v>
      </c>
      <c r="E261" s="0" t="s">
        <v>59</v>
      </c>
      <c r="F261" s="0" t="s">
        <v>60</v>
      </c>
      <c r="G261" s="0" t="n">
        <v>1</v>
      </c>
      <c r="H261" s="0" t="n">
        <v>209.72</v>
      </c>
      <c r="I261" s="0" t="n">
        <v>209.72</v>
      </c>
      <c r="J261" s="0" t="n">
        <v>123.83</v>
      </c>
      <c r="K261" s="0" t="n">
        <v>85.89</v>
      </c>
      <c r="L261" s="0" t="s">
        <v>31</v>
      </c>
    </row>
    <row r="262" customFormat="false" ht="15" hidden="false" customHeight="false" outlineLevel="0" collapsed="false">
      <c r="A262" s="0" t="n">
        <v>519371</v>
      </c>
      <c r="B262" s="0" t="s">
        <v>427</v>
      </c>
      <c r="C262" s="0" t="s">
        <v>19</v>
      </c>
      <c r="D262" s="0" t="s">
        <v>25</v>
      </c>
      <c r="E262" s="0" t="s">
        <v>50</v>
      </c>
      <c r="F262" s="0" t="s">
        <v>273</v>
      </c>
      <c r="G262" s="0" t="n">
        <v>1</v>
      </c>
      <c r="H262" s="0" t="n">
        <v>236.46</v>
      </c>
      <c r="I262" s="0" t="n">
        <v>236.46</v>
      </c>
      <c r="J262" s="0" t="n">
        <v>138.73</v>
      </c>
      <c r="K262" s="0" t="n">
        <v>97.73</v>
      </c>
      <c r="L262" s="0" t="s">
        <v>198</v>
      </c>
    </row>
    <row r="263" customFormat="false" ht="15" hidden="false" customHeight="false" outlineLevel="0" collapsed="false">
      <c r="A263" s="0" t="n">
        <v>514090</v>
      </c>
      <c r="B263" s="0" t="s">
        <v>369</v>
      </c>
      <c r="C263" s="0" t="s">
        <v>19</v>
      </c>
      <c r="D263" s="0" t="s">
        <v>54</v>
      </c>
      <c r="E263" s="0" t="s">
        <v>21</v>
      </c>
      <c r="F263" s="0" t="s">
        <v>254</v>
      </c>
      <c r="G263" s="0" t="n">
        <v>1</v>
      </c>
      <c r="H263" s="0" t="n">
        <v>455.12</v>
      </c>
      <c r="I263" s="0" t="n">
        <v>455.12</v>
      </c>
      <c r="J263" s="0" t="n">
        <v>260.19</v>
      </c>
      <c r="K263" s="0" t="n">
        <v>194.93</v>
      </c>
      <c r="L263" s="0" t="s">
        <v>35</v>
      </c>
    </row>
    <row r="264" customFormat="false" ht="15" hidden="false" customHeight="false" outlineLevel="0" collapsed="false">
      <c r="A264" s="0" t="n">
        <v>517902</v>
      </c>
      <c r="B264" s="0" t="s">
        <v>428</v>
      </c>
      <c r="C264" s="0" t="s">
        <v>19</v>
      </c>
      <c r="D264" s="0" t="s">
        <v>54</v>
      </c>
      <c r="E264" s="0" t="s">
        <v>50</v>
      </c>
      <c r="F264" s="0" t="s">
        <v>301</v>
      </c>
      <c r="G264" s="0" t="n">
        <v>1</v>
      </c>
      <c r="H264" s="0" t="n">
        <v>110.45</v>
      </c>
      <c r="I264" s="0" t="n">
        <v>110.45</v>
      </c>
      <c r="J264" s="0" t="n">
        <v>61.03</v>
      </c>
      <c r="K264" s="0" t="n">
        <v>49.42</v>
      </c>
      <c r="L264" s="0" t="s">
        <v>79</v>
      </c>
    </row>
    <row r="265" customFormat="false" ht="15" hidden="false" customHeight="false" outlineLevel="0" collapsed="false">
      <c r="A265" s="0" t="n">
        <v>535991</v>
      </c>
      <c r="B265" s="0" t="s">
        <v>429</v>
      </c>
      <c r="C265" s="0" t="s">
        <v>19</v>
      </c>
      <c r="D265" s="0" t="s">
        <v>33</v>
      </c>
      <c r="E265" s="0" t="s">
        <v>29</v>
      </c>
      <c r="F265" s="0" t="s">
        <v>176</v>
      </c>
      <c r="G265" s="0" t="n">
        <v>1</v>
      </c>
      <c r="H265" s="0" t="n">
        <v>490.97</v>
      </c>
      <c r="I265" s="0" t="n">
        <v>490.97</v>
      </c>
      <c r="J265" s="0" t="n">
        <v>279.13</v>
      </c>
      <c r="K265" s="0" t="n">
        <v>211.84</v>
      </c>
      <c r="L265" s="0" t="s">
        <v>64</v>
      </c>
    </row>
    <row r="266" customFormat="false" ht="15" hidden="false" customHeight="false" outlineLevel="0" collapsed="false">
      <c r="A266" s="0" t="n">
        <v>508900</v>
      </c>
      <c r="B266" s="0" t="s">
        <v>36</v>
      </c>
      <c r="C266" s="0" t="s">
        <v>19</v>
      </c>
      <c r="D266" s="0" t="s">
        <v>54</v>
      </c>
      <c r="E266" s="0" t="s">
        <v>47</v>
      </c>
      <c r="F266" s="0" t="s">
        <v>138</v>
      </c>
      <c r="G266" s="0" t="n">
        <v>2</v>
      </c>
      <c r="H266" s="0" t="n">
        <v>571.08</v>
      </c>
      <c r="I266" s="0" t="n">
        <v>1142.16</v>
      </c>
      <c r="J266" s="0" t="n">
        <v>667.04</v>
      </c>
      <c r="K266" s="0" t="n">
        <v>475.12</v>
      </c>
      <c r="L266" s="0" t="s">
        <v>39</v>
      </c>
    </row>
    <row r="267" customFormat="false" ht="15" hidden="false" customHeight="false" outlineLevel="0" collapsed="false">
      <c r="A267" s="0" t="n">
        <v>524742</v>
      </c>
      <c r="B267" s="0" t="s">
        <v>430</v>
      </c>
      <c r="C267" s="0" t="s">
        <v>19</v>
      </c>
      <c r="D267" s="0" t="s">
        <v>54</v>
      </c>
      <c r="E267" s="0" t="s">
        <v>50</v>
      </c>
      <c r="F267" s="0" t="s">
        <v>431</v>
      </c>
      <c r="G267" s="0" t="n">
        <v>1</v>
      </c>
      <c r="H267" s="0" t="n">
        <v>212.13</v>
      </c>
      <c r="I267" s="0" t="n">
        <v>212.13</v>
      </c>
      <c r="J267" s="0" t="n">
        <v>125.86</v>
      </c>
      <c r="K267" s="0" t="n">
        <v>86.27</v>
      </c>
      <c r="L267" s="0" t="s">
        <v>127</v>
      </c>
    </row>
    <row r="268" customFormat="false" ht="15" hidden="false" customHeight="false" outlineLevel="0" collapsed="false">
      <c r="A268" s="0" t="n">
        <v>517485</v>
      </c>
      <c r="B268" s="0" t="s">
        <v>432</v>
      </c>
      <c r="C268" s="0" t="s">
        <v>19</v>
      </c>
      <c r="D268" s="0" t="s">
        <v>25</v>
      </c>
      <c r="E268" s="0" t="s">
        <v>47</v>
      </c>
      <c r="F268" s="0" t="s">
        <v>138</v>
      </c>
      <c r="G268" s="0" t="n">
        <v>3</v>
      </c>
      <c r="H268" s="0" t="n">
        <v>558.32</v>
      </c>
      <c r="I268" s="0" t="n">
        <v>1674.96</v>
      </c>
      <c r="J268" s="0" t="n">
        <v>1000.56</v>
      </c>
      <c r="K268" s="0" t="n">
        <v>674.4</v>
      </c>
      <c r="L268" s="0" t="s">
        <v>79</v>
      </c>
    </row>
    <row r="269" customFormat="false" ht="15" hidden="false" customHeight="false" outlineLevel="0" collapsed="false">
      <c r="A269" s="0" t="n">
        <v>536855</v>
      </c>
      <c r="B269" s="0" t="s">
        <v>433</v>
      </c>
      <c r="C269" s="0" t="s">
        <v>19</v>
      </c>
      <c r="D269" s="0" t="s">
        <v>20</v>
      </c>
      <c r="E269" s="0" t="s">
        <v>59</v>
      </c>
      <c r="F269" s="0" t="s">
        <v>414</v>
      </c>
      <c r="G269" s="0" t="n">
        <v>1</v>
      </c>
      <c r="H269" s="0" t="n">
        <v>223.46</v>
      </c>
      <c r="I269" s="0" t="n">
        <v>223.46</v>
      </c>
      <c r="J269" s="0" t="n">
        <v>124.8</v>
      </c>
      <c r="K269" s="0" t="n">
        <v>98.66</v>
      </c>
      <c r="L269" s="0" t="s">
        <v>64</v>
      </c>
    </row>
    <row r="270" customFormat="false" ht="15" hidden="false" customHeight="false" outlineLevel="0" collapsed="false">
      <c r="A270" s="0" t="n">
        <v>507718</v>
      </c>
      <c r="B270" s="0" t="s">
        <v>317</v>
      </c>
      <c r="C270" s="0" t="s">
        <v>19</v>
      </c>
      <c r="D270" s="0" t="s">
        <v>54</v>
      </c>
      <c r="E270" s="0" t="s">
        <v>59</v>
      </c>
      <c r="F270" s="0" t="s">
        <v>434</v>
      </c>
      <c r="G270" s="0" t="n">
        <v>1</v>
      </c>
      <c r="H270" s="0" t="n">
        <v>166.95</v>
      </c>
      <c r="I270" s="0" t="n">
        <v>166.95</v>
      </c>
      <c r="J270" s="0" t="n">
        <v>94.2</v>
      </c>
      <c r="K270" s="0" t="n">
        <v>72.75</v>
      </c>
      <c r="L270" s="0" t="s">
        <v>39</v>
      </c>
    </row>
    <row r="271" customFormat="false" ht="15" hidden="false" customHeight="false" outlineLevel="0" collapsed="false">
      <c r="A271" s="0" t="n">
        <v>505835</v>
      </c>
      <c r="B271" s="0" t="s">
        <v>435</v>
      </c>
      <c r="C271" s="0" t="s">
        <v>19</v>
      </c>
      <c r="D271" s="0" t="s">
        <v>25</v>
      </c>
      <c r="E271" s="0" t="s">
        <v>50</v>
      </c>
      <c r="F271" s="0" t="s">
        <v>273</v>
      </c>
      <c r="G271" s="0" t="n">
        <v>1</v>
      </c>
      <c r="H271" s="0" t="n">
        <v>232.66</v>
      </c>
      <c r="I271" s="0" t="n">
        <v>232.66</v>
      </c>
      <c r="J271" s="0" t="n">
        <v>138.73</v>
      </c>
      <c r="K271" s="0" t="n">
        <v>93.93</v>
      </c>
      <c r="L271" s="0" t="s">
        <v>222</v>
      </c>
    </row>
    <row r="272" customFormat="false" ht="15" hidden="false" customHeight="false" outlineLevel="0" collapsed="false">
      <c r="A272" s="0" t="n">
        <v>502126</v>
      </c>
      <c r="B272" s="0" t="s">
        <v>436</v>
      </c>
      <c r="C272" s="0" t="s">
        <v>19</v>
      </c>
      <c r="D272" s="0" t="s">
        <v>54</v>
      </c>
      <c r="E272" s="0" t="s">
        <v>21</v>
      </c>
      <c r="F272" s="0" t="s">
        <v>254</v>
      </c>
      <c r="G272" s="0" t="n">
        <v>1</v>
      </c>
      <c r="H272" s="0" t="n">
        <v>467.78</v>
      </c>
      <c r="I272" s="0" t="n">
        <v>467.78</v>
      </c>
      <c r="J272" s="0" t="n">
        <v>260.19</v>
      </c>
      <c r="K272" s="0" t="n">
        <v>207.59</v>
      </c>
      <c r="L272" s="0" t="s">
        <v>61</v>
      </c>
    </row>
    <row r="273" customFormat="false" ht="15" hidden="false" customHeight="false" outlineLevel="0" collapsed="false">
      <c r="A273" s="0" t="n">
        <v>518870</v>
      </c>
      <c r="B273" s="0" t="s">
        <v>437</v>
      </c>
      <c r="C273" s="0" t="s">
        <v>19</v>
      </c>
      <c r="D273" s="0" t="s">
        <v>25</v>
      </c>
      <c r="E273" s="0" t="s">
        <v>21</v>
      </c>
      <c r="F273" s="0" t="s">
        <v>231</v>
      </c>
      <c r="G273" s="0" t="n">
        <v>2</v>
      </c>
      <c r="H273" s="0" t="n">
        <v>1035.11</v>
      </c>
      <c r="I273" s="0" t="n">
        <v>2070.22</v>
      </c>
      <c r="J273" s="0" t="n">
        <v>1168.52</v>
      </c>
      <c r="K273" s="0" t="n">
        <v>901.7</v>
      </c>
      <c r="L273" s="0" t="s">
        <v>198</v>
      </c>
    </row>
    <row r="274" customFormat="false" ht="15" hidden="false" customHeight="false" outlineLevel="0" collapsed="false">
      <c r="A274" s="0" t="n">
        <v>502261</v>
      </c>
      <c r="B274" s="0" t="s">
        <v>438</v>
      </c>
      <c r="C274" s="0" t="s">
        <v>19</v>
      </c>
      <c r="D274" s="0" t="s">
        <v>25</v>
      </c>
      <c r="E274" s="0" t="s">
        <v>50</v>
      </c>
      <c r="F274" s="0" t="s">
        <v>166</v>
      </c>
      <c r="G274" s="0" t="n">
        <v>1</v>
      </c>
      <c r="H274" s="0" t="n">
        <v>289.03</v>
      </c>
      <c r="I274" s="0" t="n">
        <v>289.03</v>
      </c>
      <c r="J274" s="0" t="n">
        <v>171.82</v>
      </c>
      <c r="K274" s="0" t="n">
        <v>117.21</v>
      </c>
      <c r="L274" s="0" t="s">
        <v>102</v>
      </c>
    </row>
    <row r="275" customFormat="false" ht="15" hidden="false" customHeight="false" outlineLevel="0" collapsed="false">
      <c r="A275" s="0" t="n">
        <v>516303</v>
      </c>
      <c r="B275" s="0" t="s">
        <v>439</v>
      </c>
      <c r="C275" s="0" t="s">
        <v>19</v>
      </c>
      <c r="D275" s="0" t="s">
        <v>33</v>
      </c>
      <c r="E275" s="0" t="s">
        <v>55</v>
      </c>
      <c r="F275" s="0" t="s">
        <v>56</v>
      </c>
      <c r="G275" s="0" t="n">
        <v>1</v>
      </c>
      <c r="H275" s="0" t="n">
        <v>105.15</v>
      </c>
      <c r="I275" s="0" t="n">
        <v>105.15</v>
      </c>
      <c r="J275" s="0" t="n">
        <v>59.39</v>
      </c>
      <c r="K275" s="0" t="n">
        <v>45.76</v>
      </c>
      <c r="L275" s="0" t="s">
        <v>132</v>
      </c>
    </row>
    <row r="276" customFormat="false" ht="15" hidden="false" customHeight="false" outlineLevel="0" collapsed="false">
      <c r="A276" s="0" t="n">
        <v>506648</v>
      </c>
      <c r="B276" s="0" t="s">
        <v>440</v>
      </c>
      <c r="C276" s="0" t="s">
        <v>19</v>
      </c>
      <c r="D276" s="0" t="s">
        <v>25</v>
      </c>
      <c r="E276" s="0" t="s">
        <v>50</v>
      </c>
      <c r="F276" s="0" t="s">
        <v>310</v>
      </c>
      <c r="G276" s="0" t="n">
        <v>1</v>
      </c>
      <c r="H276" s="0" t="n">
        <v>87.78</v>
      </c>
      <c r="I276" s="0" t="n">
        <v>87.78</v>
      </c>
      <c r="J276" s="0" t="n">
        <v>49.86</v>
      </c>
      <c r="K276" s="0" t="n">
        <v>37.92</v>
      </c>
      <c r="L276" s="0" t="s">
        <v>154</v>
      </c>
    </row>
    <row r="277" customFormat="false" ht="15" hidden="false" customHeight="false" outlineLevel="0" collapsed="false">
      <c r="A277" s="0" t="n">
        <v>508056</v>
      </c>
      <c r="B277" s="0" t="s">
        <v>441</v>
      </c>
      <c r="C277" s="0" t="s">
        <v>19</v>
      </c>
      <c r="D277" s="0" t="s">
        <v>20</v>
      </c>
      <c r="E277" s="0" t="s">
        <v>21</v>
      </c>
      <c r="F277" s="0" t="s">
        <v>41</v>
      </c>
      <c r="G277" s="0" t="n">
        <v>3</v>
      </c>
      <c r="H277" s="0" t="n">
        <v>152.37</v>
      </c>
      <c r="I277" s="0" t="n">
        <v>457.11</v>
      </c>
      <c r="J277" s="0" t="n">
        <v>265.35</v>
      </c>
      <c r="K277" s="0" t="n">
        <v>191.76</v>
      </c>
      <c r="L277" s="0" t="s">
        <v>39</v>
      </c>
    </row>
    <row r="278" customFormat="false" ht="15" hidden="false" customHeight="false" outlineLevel="0" collapsed="false">
      <c r="A278" s="0" t="n">
        <v>521875</v>
      </c>
      <c r="B278" s="0" t="s">
        <v>442</v>
      </c>
      <c r="C278" s="0" t="s">
        <v>19</v>
      </c>
      <c r="D278" s="0" t="s">
        <v>20</v>
      </c>
      <c r="E278" s="0" t="s">
        <v>50</v>
      </c>
      <c r="F278" s="0" t="s">
        <v>314</v>
      </c>
      <c r="G278" s="0" t="n">
        <v>1</v>
      </c>
      <c r="H278" s="0" t="n">
        <v>214.27</v>
      </c>
      <c r="I278" s="0" t="n">
        <v>214.27</v>
      </c>
      <c r="J278" s="0" t="n">
        <v>124.12</v>
      </c>
      <c r="K278" s="0" t="n">
        <v>90.15</v>
      </c>
      <c r="L278" s="0" t="s">
        <v>76</v>
      </c>
    </row>
    <row r="279" customFormat="false" ht="15" hidden="false" customHeight="false" outlineLevel="0" collapsed="false">
      <c r="A279" s="0" t="n">
        <v>529184</v>
      </c>
      <c r="B279" s="0" t="s">
        <v>443</v>
      </c>
      <c r="C279" s="0" t="s">
        <v>19</v>
      </c>
      <c r="D279" s="0" t="s">
        <v>25</v>
      </c>
      <c r="E279" s="0" t="s">
        <v>47</v>
      </c>
      <c r="F279" s="0" t="s">
        <v>385</v>
      </c>
      <c r="G279" s="0" t="n">
        <v>2</v>
      </c>
      <c r="H279" s="0" t="n">
        <v>663.04</v>
      </c>
      <c r="I279" s="0" t="n">
        <v>1326.08</v>
      </c>
      <c r="J279" s="0" t="n">
        <v>764.78</v>
      </c>
      <c r="K279" s="0" t="n">
        <v>561.3</v>
      </c>
      <c r="L279" s="0" t="s">
        <v>214</v>
      </c>
    </row>
    <row r="280" customFormat="false" ht="15" hidden="false" customHeight="false" outlineLevel="0" collapsed="false">
      <c r="A280" s="0" t="n">
        <v>521429</v>
      </c>
      <c r="B280" s="0" t="s">
        <v>223</v>
      </c>
      <c r="C280" s="0" t="s">
        <v>19</v>
      </c>
      <c r="D280" s="0" t="s">
        <v>33</v>
      </c>
      <c r="E280" s="0" t="s">
        <v>29</v>
      </c>
      <c r="F280" s="0" t="s">
        <v>265</v>
      </c>
      <c r="G280" s="0" t="n">
        <v>2</v>
      </c>
      <c r="H280" s="0" t="n">
        <v>688.25</v>
      </c>
      <c r="I280" s="0" t="n">
        <v>1376.5</v>
      </c>
      <c r="J280" s="0" t="n">
        <v>815.46</v>
      </c>
      <c r="K280" s="0" t="n">
        <v>561.04</v>
      </c>
      <c r="L280" s="0" t="s">
        <v>23</v>
      </c>
    </row>
    <row r="281" customFormat="false" ht="15" hidden="false" customHeight="false" outlineLevel="0" collapsed="false">
      <c r="A281" s="0" t="n">
        <v>500394</v>
      </c>
      <c r="B281" s="0" t="s">
        <v>444</v>
      </c>
      <c r="C281" s="0" t="s">
        <v>19</v>
      </c>
      <c r="D281" s="0" t="s">
        <v>25</v>
      </c>
      <c r="E281" s="0" t="s">
        <v>50</v>
      </c>
      <c r="F281" s="0" t="s">
        <v>445</v>
      </c>
      <c r="G281" s="0" t="n">
        <v>1</v>
      </c>
      <c r="H281" s="0" t="n">
        <v>281.71</v>
      </c>
      <c r="I281" s="0" t="n">
        <v>281.71</v>
      </c>
      <c r="J281" s="0" t="n">
        <v>165.5</v>
      </c>
      <c r="K281" s="0" t="n">
        <v>116.21</v>
      </c>
      <c r="L281" s="0" t="s">
        <v>82</v>
      </c>
    </row>
    <row r="282" customFormat="false" ht="15" hidden="false" customHeight="false" outlineLevel="0" collapsed="false">
      <c r="A282" s="0" t="n">
        <v>518160</v>
      </c>
      <c r="B282" s="0" t="s">
        <v>446</v>
      </c>
      <c r="C282" s="0" t="s">
        <v>19</v>
      </c>
      <c r="D282" s="0" t="s">
        <v>33</v>
      </c>
      <c r="E282" s="0" t="s">
        <v>21</v>
      </c>
      <c r="F282" s="0" t="s">
        <v>101</v>
      </c>
      <c r="G282" s="0" t="n">
        <v>1</v>
      </c>
      <c r="H282" s="0" t="n">
        <v>724.88</v>
      </c>
      <c r="I282" s="0" t="n">
        <v>724.88</v>
      </c>
      <c r="J282" s="0" t="n">
        <v>403.6</v>
      </c>
      <c r="K282" s="0" t="n">
        <v>321.28</v>
      </c>
      <c r="L282" s="0" t="s">
        <v>348</v>
      </c>
    </row>
    <row r="283" customFormat="false" ht="15" hidden="false" customHeight="false" outlineLevel="0" collapsed="false">
      <c r="A283" s="0" t="n">
        <v>534097</v>
      </c>
      <c r="B283" s="0" t="s">
        <v>447</v>
      </c>
      <c r="C283" s="0" t="s">
        <v>19</v>
      </c>
      <c r="D283" s="0" t="s">
        <v>20</v>
      </c>
      <c r="E283" s="0" t="s">
        <v>21</v>
      </c>
      <c r="F283" s="0" t="s">
        <v>41</v>
      </c>
      <c r="G283" s="0" t="n">
        <v>1</v>
      </c>
      <c r="H283" s="0" t="n">
        <v>149.11</v>
      </c>
      <c r="I283" s="0" t="n">
        <v>149.11</v>
      </c>
      <c r="J283" s="0" t="n">
        <v>88.45</v>
      </c>
      <c r="K283" s="0" t="n">
        <v>60.66</v>
      </c>
      <c r="L283" s="0" t="s">
        <v>70</v>
      </c>
    </row>
    <row r="284" customFormat="false" ht="15" hidden="false" customHeight="false" outlineLevel="0" collapsed="false">
      <c r="A284" s="0" t="n">
        <v>505181</v>
      </c>
      <c r="B284" s="0" t="s">
        <v>448</v>
      </c>
      <c r="C284" s="0" t="s">
        <v>19</v>
      </c>
      <c r="D284" s="0" t="s">
        <v>20</v>
      </c>
      <c r="E284" s="0" t="s">
        <v>21</v>
      </c>
      <c r="F284" s="0" t="s">
        <v>305</v>
      </c>
      <c r="G284" s="0" t="n">
        <v>1</v>
      </c>
      <c r="H284" s="0" t="n">
        <v>314.3</v>
      </c>
      <c r="I284" s="0" t="n">
        <v>314.3</v>
      </c>
      <c r="J284" s="0" t="n">
        <v>173.18</v>
      </c>
      <c r="K284" s="0" t="n">
        <v>141.12</v>
      </c>
      <c r="L284" s="0" t="s">
        <v>222</v>
      </c>
    </row>
    <row r="285" customFormat="false" ht="15" hidden="false" customHeight="false" outlineLevel="0" collapsed="false">
      <c r="A285" s="0" t="n">
        <v>530213</v>
      </c>
      <c r="B285" s="0" t="s">
        <v>449</v>
      </c>
      <c r="C285" s="0" t="s">
        <v>19</v>
      </c>
      <c r="D285" s="0" t="s">
        <v>25</v>
      </c>
      <c r="E285" s="0" t="s">
        <v>50</v>
      </c>
      <c r="F285" s="0" t="s">
        <v>147</v>
      </c>
      <c r="G285" s="0" t="n">
        <v>1</v>
      </c>
      <c r="H285" s="0" t="n">
        <v>102.57</v>
      </c>
      <c r="I285" s="0" t="n">
        <v>102.57</v>
      </c>
      <c r="J285" s="0" t="n">
        <v>57.72</v>
      </c>
      <c r="K285" s="0" t="n">
        <v>44.85</v>
      </c>
      <c r="L285" s="0" t="s">
        <v>290</v>
      </c>
    </row>
    <row r="286" customFormat="false" ht="15" hidden="false" customHeight="false" outlineLevel="0" collapsed="false">
      <c r="A286" s="0" t="n">
        <v>525884</v>
      </c>
      <c r="B286" s="0" t="s">
        <v>450</v>
      </c>
      <c r="C286" s="0" t="s">
        <v>19</v>
      </c>
      <c r="D286" s="0" t="s">
        <v>37</v>
      </c>
      <c r="E286" s="0" t="s">
        <v>50</v>
      </c>
      <c r="F286" s="0" t="s">
        <v>194</v>
      </c>
      <c r="G286" s="0" t="n">
        <v>2</v>
      </c>
      <c r="H286" s="0" t="n">
        <v>264.96</v>
      </c>
      <c r="I286" s="0" t="n">
        <v>529.92</v>
      </c>
      <c r="J286" s="0" t="n">
        <v>298.74</v>
      </c>
      <c r="K286" s="0" t="n">
        <v>231.18</v>
      </c>
      <c r="L286" s="0" t="s">
        <v>42</v>
      </c>
    </row>
    <row r="287" customFormat="false" ht="15" hidden="false" customHeight="false" outlineLevel="0" collapsed="false">
      <c r="A287" s="0" t="n">
        <v>509699</v>
      </c>
      <c r="B287" s="0" t="s">
        <v>451</v>
      </c>
      <c r="C287" s="0" t="s">
        <v>19</v>
      </c>
      <c r="D287" s="0" t="s">
        <v>20</v>
      </c>
      <c r="E287" s="0" t="s">
        <v>29</v>
      </c>
      <c r="F287" s="0" t="s">
        <v>261</v>
      </c>
      <c r="G287" s="0" t="n">
        <v>1</v>
      </c>
      <c r="H287" s="0" t="n">
        <v>299.71</v>
      </c>
      <c r="I287" s="0" t="n">
        <v>299.71</v>
      </c>
      <c r="J287" s="0" t="n">
        <v>170.55</v>
      </c>
      <c r="K287" s="0" t="n">
        <v>129.16</v>
      </c>
      <c r="L287" s="0" t="s">
        <v>130</v>
      </c>
    </row>
    <row r="288" customFormat="false" ht="15" hidden="false" customHeight="false" outlineLevel="0" collapsed="false">
      <c r="A288" s="0" t="n">
        <v>517137</v>
      </c>
      <c r="B288" s="0" t="s">
        <v>77</v>
      </c>
      <c r="C288" s="0" t="s">
        <v>19</v>
      </c>
      <c r="D288" s="0" t="s">
        <v>33</v>
      </c>
      <c r="E288" s="0" t="s">
        <v>50</v>
      </c>
      <c r="F288" s="0" t="s">
        <v>115</v>
      </c>
      <c r="G288" s="0" t="n">
        <v>2</v>
      </c>
      <c r="H288" s="0" t="n">
        <v>78.21</v>
      </c>
      <c r="I288" s="0" t="n">
        <v>156.42</v>
      </c>
      <c r="J288" s="0" t="n">
        <v>92.72</v>
      </c>
      <c r="K288" s="0" t="n">
        <v>63.7</v>
      </c>
      <c r="L288" s="0" t="s">
        <v>79</v>
      </c>
    </row>
    <row r="289" customFormat="false" ht="15" hidden="false" customHeight="false" outlineLevel="0" collapsed="false">
      <c r="A289" s="0" t="n">
        <v>511795</v>
      </c>
      <c r="B289" s="0" t="s">
        <v>452</v>
      </c>
      <c r="C289" s="0" t="s">
        <v>19</v>
      </c>
      <c r="D289" s="0" t="s">
        <v>54</v>
      </c>
      <c r="E289" s="0" t="s">
        <v>50</v>
      </c>
      <c r="F289" s="0" t="s">
        <v>314</v>
      </c>
      <c r="G289" s="0" t="n">
        <v>1</v>
      </c>
      <c r="H289" s="0" t="n">
        <v>223.83</v>
      </c>
      <c r="I289" s="0" t="n">
        <v>223.83</v>
      </c>
      <c r="J289" s="0" t="n">
        <v>124.12</v>
      </c>
      <c r="K289" s="0" t="n">
        <v>99.71</v>
      </c>
      <c r="L289" s="0" t="s">
        <v>73</v>
      </c>
    </row>
    <row r="290" customFormat="false" ht="15" hidden="false" customHeight="false" outlineLevel="0" collapsed="false">
      <c r="A290" s="0" t="n">
        <v>537248</v>
      </c>
      <c r="B290" s="0" t="s">
        <v>453</v>
      </c>
      <c r="C290" s="0" t="s">
        <v>19</v>
      </c>
      <c r="D290" s="0" t="s">
        <v>54</v>
      </c>
      <c r="E290" s="0" t="s">
        <v>29</v>
      </c>
      <c r="F290" s="0" t="s">
        <v>261</v>
      </c>
      <c r="G290" s="0" t="n">
        <v>1</v>
      </c>
      <c r="H290" s="0" t="n">
        <v>720.03</v>
      </c>
      <c r="I290" s="0" t="n">
        <v>720.03</v>
      </c>
      <c r="J290" s="0" t="n">
        <v>423.66</v>
      </c>
      <c r="K290" s="0" t="n">
        <v>296.37</v>
      </c>
      <c r="L290" s="0" t="s">
        <v>64</v>
      </c>
    </row>
    <row r="291" customFormat="false" ht="15" hidden="false" customHeight="false" outlineLevel="0" collapsed="false">
      <c r="A291" s="0" t="n">
        <v>530974</v>
      </c>
      <c r="B291" s="0" t="s">
        <v>454</v>
      </c>
      <c r="C291" s="0" t="s">
        <v>19</v>
      </c>
      <c r="D291" s="0" t="s">
        <v>25</v>
      </c>
      <c r="E291" s="0" t="s">
        <v>55</v>
      </c>
      <c r="F291" s="0" t="s">
        <v>455</v>
      </c>
      <c r="G291" s="0" t="n">
        <v>1</v>
      </c>
      <c r="H291" s="0" t="n">
        <v>197.87</v>
      </c>
      <c r="I291" s="0" t="n">
        <v>197.87</v>
      </c>
      <c r="J291" s="0" t="n">
        <v>114.72</v>
      </c>
      <c r="K291" s="0" t="n">
        <v>83.15</v>
      </c>
      <c r="L291" s="0" t="s">
        <v>57</v>
      </c>
    </row>
    <row r="292" customFormat="false" ht="15" hidden="false" customHeight="false" outlineLevel="0" collapsed="false">
      <c r="A292" s="0" t="n">
        <v>505611</v>
      </c>
      <c r="B292" s="0" t="s">
        <v>456</v>
      </c>
      <c r="C292" s="0" t="s">
        <v>19</v>
      </c>
      <c r="D292" s="0" t="s">
        <v>54</v>
      </c>
      <c r="E292" s="0" t="s">
        <v>55</v>
      </c>
      <c r="F292" s="0" t="s">
        <v>256</v>
      </c>
      <c r="G292" s="0" t="n">
        <v>1</v>
      </c>
      <c r="H292" s="0" t="n">
        <v>110.36</v>
      </c>
      <c r="I292" s="0" t="n">
        <v>110.36</v>
      </c>
      <c r="J292" s="0" t="n">
        <v>63.61</v>
      </c>
      <c r="K292" s="0" t="n">
        <v>46.75</v>
      </c>
      <c r="L292" s="0" t="s">
        <v>222</v>
      </c>
    </row>
    <row r="293" customFormat="false" ht="15" hidden="false" customHeight="false" outlineLevel="0" collapsed="false">
      <c r="A293" s="0" t="n">
        <v>525732</v>
      </c>
      <c r="B293" s="0" t="s">
        <v>457</v>
      </c>
      <c r="C293" s="0" t="s">
        <v>19</v>
      </c>
      <c r="D293" s="0" t="s">
        <v>25</v>
      </c>
      <c r="E293" s="0" t="s">
        <v>59</v>
      </c>
      <c r="F293" s="0" t="s">
        <v>373</v>
      </c>
      <c r="G293" s="0" t="n">
        <v>1</v>
      </c>
      <c r="H293" s="0" t="n">
        <v>161.04</v>
      </c>
      <c r="I293" s="0" t="n">
        <v>161.04</v>
      </c>
      <c r="J293" s="0" t="n">
        <v>90.4</v>
      </c>
      <c r="K293" s="0" t="n">
        <v>70.64</v>
      </c>
      <c r="L293" s="0" t="s">
        <v>42</v>
      </c>
    </row>
    <row r="294" customFormat="false" ht="15" hidden="false" customHeight="false" outlineLevel="0" collapsed="false">
      <c r="A294" s="0" t="n">
        <v>526658</v>
      </c>
      <c r="B294" s="0" t="s">
        <v>458</v>
      </c>
      <c r="C294" s="0" t="s">
        <v>19</v>
      </c>
      <c r="D294" s="0" t="s">
        <v>25</v>
      </c>
      <c r="E294" s="0" t="s">
        <v>59</v>
      </c>
      <c r="F294" s="0" t="s">
        <v>240</v>
      </c>
      <c r="G294" s="0" t="n">
        <v>1</v>
      </c>
      <c r="H294" s="0" t="n">
        <v>220.97</v>
      </c>
      <c r="I294" s="0" t="n">
        <v>220.97</v>
      </c>
      <c r="J294" s="0" t="n">
        <v>124.16</v>
      </c>
      <c r="K294" s="0" t="n">
        <v>96.81</v>
      </c>
      <c r="L294" s="0" t="s">
        <v>88</v>
      </c>
    </row>
    <row r="295" customFormat="false" ht="15" hidden="false" customHeight="false" outlineLevel="0" collapsed="false">
      <c r="A295" s="0" t="n">
        <v>521056</v>
      </c>
      <c r="B295" s="0" t="s">
        <v>459</v>
      </c>
      <c r="C295" s="0" t="s">
        <v>19</v>
      </c>
      <c r="D295" s="0" t="s">
        <v>25</v>
      </c>
      <c r="E295" s="0" t="s">
        <v>21</v>
      </c>
      <c r="F295" s="0" t="s">
        <v>283</v>
      </c>
      <c r="G295" s="0" t="n">
        <v>1</v>
      </c>
      <c r="H295" s="0" t="n">
        <v>876.86</v>
      </c>
      <c r="I295" s="0" t="n">
        <v>876.86</v>
      </c>
      <c r="J295" s="0" t="n">
        <v>489.48</v>
      </c>
      <c r="K295" s="0" t="n">
        <v>387.38</v>
      </c>
      <c r="L295" s="0" t="s">
        <v>23</v>
      </c>
    </row>
    <row r="296" customFormat="false" ht="15" hidden="false" customHeight="false" outlineLevel="0" collapsed="false">
      <c r="A296" s="0" t="n">
        <v>529719</v>
      </c>
      <c r="B296" s="0" t="s">
        <v>460</v>
      </c>
      <c r="C296" s="0" t="s">
        <v>19</v>
      </c>
      <c r="D296" s="0" t="s">
        <v>37</v>
      </c>
      <c r="E296" s="0" t="s">
        <v>47</v>
      </c>
      <c r="F296" s="0" t="s">
        <v>461</v>
      </c>
      <c r="G296" s="0" t="n">
        <v>2</v>
      </c>
      <c r="H296" s="0" t="n">
        <v>526.53</v>
      </c>
      <c r="I296" s="0" t="n">
        <v>1053.06</v>
      </c>
      <c r="J296" s="0" t="n">
        <v>624.24</v>
      </c>
      <c r="K296" s="0" t="n">
        <v>428.82</v>
      </c>
      <c r="L296" s="0" t="s">
        <v>290</v>
      </c>
    </row>
    <row r="297" customFormat="false" ht="15" hidden="false" customHeight="false" outlineLevel="0" collapsed="false">
      <c r="A297" s="0" t="n">
        <v>525159</v>
      </c>
      <c r="B297" s="0" t="s">
        <v>462</v>
      </c>
      <c r="C297" s="0" t="s">
        <v>19</v>
      </c>
      <c r="D297" s="0" t="s">
        <v>37</v>
      </c>
      <c r="E297" s="0" t="s">
        <v>21</v>
      </c>
      <c r="F297" s="0" t="s">
        <v>463</v>
      </c>
      <c r="G297" s="0" t="n">
        <v>1</v>
      </c>
      <c r="H297" s="0" t="n">
        <v>924.77</v>
      </c>
      <c r="I297" s="0" t="n">
        <v>924.77</v>
      </c>
      <c r="J297" s="0" t="n">
        <v>525.22</v>
      </c>
      <c r="K297" s="0" t="n">
        <v>399.55</v>
      </c>
      <c r="L297" s="0" t="s">
        <v>127</v>
      </c>
    </row>
    <row r="298" customFormat="false" ht="15" hidden="false" customHeight="false" outlineLevel="0" collapsed="false">
      <c r="A298" s="0" t="n">
        <v>502433</v>
      </c>
      <c r="B298" s="0" t="s">
        <v>464</v>
      </c>
      <c r="C298" s="0" t="s">
        <v>19</v>
      </c>
      <c r="D298" s="0" t="s">
        <v>20</v>
      </c>
      <c r="E298" s="0" t="s">
        <v>55</v>
      </c>
      <c r="F298" s="0" t="s">
        <v>465</v>
      </c>
      <c r="G298" s="0" t="n">
        <v>2</v>
      </c>
      <c r="H298" s="0" t="n">
        <v>136.99</v>
      </c>
      <c r="I298" s="0" t="n">
        <v>273.98</v>
      </c>
      <c r="J298" s="0" t="n">
        <v>154.46</v>
      </c>
      <c r="K298" s="0" t="n">
        <v>119.52</v>
      </c>
      <c r="L298" s="0" t="s">
        <v>102</v>
      </c>
    </row>
    <row r="299" customFormat="false" ht="15" hidden="false" customHeight="false" outlineLevel="0" collapsed="false">
      <c r="A299" s="0" t="n">
        <v>504700</v>
      </c>
      <c r="B299" s="0" t="s">
        <v>466</v>
      </c>
      <c r="C299" s="0" t="s">
        <v>19</v>
      </c>
      <c r="D299" s="0" t="s">
        <v>33</v>
      </c>
      <c r="E299" s="0" t="s">
        <v>50</v>
      </c>
      <c r="F299" s="0" t="s">
        <v>301</v>
      </c>
      <c r="G299" s="0" t="n">
        <v>1</v>
      </c>
      <c r="H299" s="0" t="n">
        <v>109.57</v>
      </c>
      <c r="I299" s="0" t="n">
        <v>109.57</v>
      </c>
      <c r="J299" s="0" t="n">
        <v>61.03</v>
      </c>
      <c r="K299" s="0" t="n">
        <v>48.54</v>
      </c>
      <c r="L299" s="0" t="s">
        <v>252</v>
      </c>
    </row>
    <row r="300" customFormat="false" ht="15" hidden="false" customHeight="false" outlineLevel="0" collapsed="false">
      <c r="A300" s="0" t="n">
        <v>528566</v>
      </c>
      <c r="B300" s="0" t="s">
        <v>467</v>
      </c>
      <c r="C300" s="0" t="s">
        <v>19</v>
      </c>
      <c r="D300" s="0" t="s">
        <v>25</v>
      </c>
      <c r="E300" s="0" t="s">
        <v>59</v>
      </c>
      <c r="F300" s="0" t="s">
        <v>129</v>
      </c>
      <c r="G300" s="0" t="n">
        <v>1</v>
      </c>
      <c r="H300" s="0" t="n">
        <v>124.98</v>
      </c>
      <c r="I300" s="0" t="n">
        <v>124.98</v>
      </c>
      <c r="J300" s="0" t="n">
        <v>71.58</v>
      </c>
      <c r="K300" s="0" t="n">
        <v>53.4</v>
      </c>
      <c r="L300" s="0" t="s">
        <v>214</v>
      </c>
    </row>
    <row r="301" customFormat="false" ht="15" hidden="false" customHeight="false" outlineLevel="0" collapsed="false">
      <c r="A301" s="0" t="n">
        <v>504270</v>
      </c>
      <c r="B301" s="0" t="s">
        <v>468</v>
      </c>
      <c r="C301" s="0" t="s">
        <v>19</v>
      </c>
      <c r="D301" s="0" t="s">
        <v>33</v>
      </c>
      <c r="E301" s="0" t="s">
        <v>59</v>
      </c>
      <c r="F301" s="0" t="s">
        <v>469</v>
      </c>
      <c r="G301" s="0" t="n">
        <v>1</v>
      </c>
      <c r="H301" s="0" t="n">
        <v>179.18</v>
      </c>
      <c r="I301" s="0" t="n">
        <v>179.18</v>
      </c>
      <c r="J301" s="0" t="n">
        <v>101.14</v>
      </c>
      <c r="K301" s="0" t="n">
        <v>78.04</v>
      </c>
      <c r="L301" s="0" t="s">
        <v>67</v>
      </c>
    </row>
    <row r="302" customFormat="false" ht="15" hidden="false" customHeight="false" outlineLevel="0" collapsed="false">
      <c r="A302" s="0" t="n">
        <v>513814</v>
      </c>
      <c r="B302" s="0" t="s">
        <v>470</v>
      </c>
      <c r="C302" s="0" t="s">
        <v>19</v>
      </c>
      <c r="D302" s="0" t="s">
        <v>33</v>
      </c>
      <c r="E302" s="0" t="s">
        <v>55</v>
      </c>
      <c r="F302" s="0" t="s">
        <v>87</v>
      </c>
      <c r="G302" s="0" t="n">
        <v>2</v>
      </c>
      <c r="H302" s="0" t="n">
        <v>154.46</v>
      </c>
      <c r="I302" s="0" t="n">
        <v>308.92</v>
      </c>
      <c r="J302" s="0" t="n">
        <v>181.96</v>
      </c>
      <c r="K302" s="0" t="n">
        <v>126.96</v>
      </c>
      <c r="L302" s="0" t="s">
        <v>35</v>
      </c>
    </row>
    <row r="303" customFormat="false" ht="15" hidden="false" customHeight="false" outlineLevel="0" collapsed="false">
      <c r="A303" s="0" t="n">
        <v>500237</v>
      </c>
      <c r="B303" s="0" t="s">
        <v>275</v>
      </c>
      <c r="C303" s="0" t="s">
        <v>19</v>
      </c>
      <c r="D303" s="0" t="s">
        <v>33</v>
      </c>
      <c r="E303" s="0" t="s">
        <v>21</v>
      </c>
      <c r="F303" s="0" t="s">
        <v>208</v>
      </c>
      <c r="G303" s="0" t="n">
        <v>1</v>
      </c>
      <c r="H303" s="0" t="n">
        <v>720.23</v>
      </c>
      <c r="I303" s="0" t="n">
        <v>720.23</v>
      </c>
      <c r="J303" s="0" t="n">
        <v>405.49</v>
      </c>
      <c r="K303" s="0" t="n">
        <v>314.74</v>
      </c>
      <c r="L303" s="0" t="s">
        <v>82</v>
      </c>
    </row>
    <row r="304" customFormat="false" ht="15" hidden="false" customHeight="false" outlineLevel="0" collapsed="false">
      <c r="A304" s="0" t="n">
        <v>516775</v>
      </c>
      <c r="B304" s="0" t="s">
        <v>426</v>
      </c>
      <c r="C304" s="0" t="s">
        <v>19</v>
      </c>
      <c r="D304" s="0" t="s">
        <v>20</v>
      </c>
      <c r="E304" s="0" t="s">
        <v>21</v>
      </c>
      <c r="F304" s="0" t="s">
        <v>208</v>
      </c>
      <c r="G304" s="0" t="n">
        <v>1</v>
      </c>
      <c r="H304" s="0" t="n">
        <v>645.09</v>
      </c>
      <c r="I304" s="0" t="n">
        <v>645.09</v>
      </c>
      <c r="J304" s="0" t="n">
        <v>369.97</v>
      </c>
      <c r="K304" s="0" t="n">
        <v>275.12</v>
      </c>
      <c r="L304" s="0" t="s">
        <v>31</v>
      </c>
    </row>
    <row r="305" customFormat="false" ht="15" hidden="false" customHeight="false" outlineLevel="0" collapsed="false">
      <c r="A305" s="0" t="n">
        <v>514053</v>
      </c>
      <c r="B305" s="0" t="s">
        <v>369</v>
      </c>
      <c r="C305" s="0" t="s">
        <v>19</v>
      </c>
      <c r="D305" s="0" t="s">
        <v>37</v>
      </c>
      <c r="E305" s="0" t="s">
        <v>21</v>
      </c>
      <c r="F305" s="0" t="s">
        <v>281</v>
      </c>
      <c r="G305" s="0" t="n">
        <v>1</v>
      </c>
      <c r="H305" s="0" t="n">
        <v>807.45</v>
      </c>
      <c r="I305" s="0" t="n">
        <v>807.45</v>
      </c>
      <c r="J305" s="0" t="n">
        <v>462.31</v>
      </c>
      <c r="K305" s="0" t="n">
        <v>345.14</v>
      </c>
      <c r="L305" s="0" t="s">
        <v>35</v>
      </c>
    </row>
    <row r="306" customFormat="false" ht="15" hidden="false" customHeight="false" outlineLevel="0" collapsed="false">
      <c r="A306" s="0" t="n">
        <v>509916</v>
      </c>
      <c r="B306" s="0" t="s">
        <v>471</v>
      </c>
      <c r="C306" s="0" t="s">
        <v>19</v>
      </c>
      <c r="D306" s="0" t="s">
        <v>25</v>
      </c>
      <c r="E306" s="0" t="s">
        <v>55</v>
      </c>
      <c r="F306" s="0" t="s">
        <v>87</v>
      </c>
      <c r="G306" s="0" t="n">
        <v>3</v>
      </c>
      <c r="H306" s="0" t="n">
        <v>63.24</v>
      </c>
      <c r="I306" s="0" t="n">
        <v>189.72</v>
      </c>
      <c r="J306" s="0" t="n">
        <v>105.39</v>
      </c>
      <c r="K306" s="0" t="n">
        <v>84.33</v>
      </c>
      <c r="L306" s="0" t="s">
        <v>130</v>
      </c>
    </row>
    <row r="307" customFormat="false" ht="15" hidden="false" customHeight="false" outlineLevel="0" collapsed="false">
      <c r="A307" s="0" t="n">
        <v>507498</v>
      </c>
      <c r="B307" s="0" t="s">
        <v>472</v>
      </c>
      <c r="C307" s="0" t="s">
        <v>19</v>
      </c>
      <c r="D307" s="0" t="s">
        <v>25</v>
      </c>
      <c r="E307" s="0" t="s">
        <v>21</v>
      </c>
      <c r="F307" s="0" t="s">
        <v>473</v>
      </c>
      <c r="G307" s="0" t="n">
        <v>1</v>
      </c>
      <c r="H307" s="0" t="n">
        <v>377.94</v>
      </c>
      <c r="I307" s="0" t="n">
        <v>377.94</v>
      </c>
      <c r="J307" s="0" t="n">
        <v>208.91</v>
      </c>
      <c r="K307" s="0" t="n">
        <v>169.03</v>
      </c>
      <c r="L307" s="0" t="s">
        <v>39</v>
      </c>
    </row>
    <row r="308" customFormat="false" ht="15" hidden="false" customHeight="false" outlineLevel="0" collapsed="false">
      <c r="A308" s="0" t="n">
        <v>507395</v>
      </c>
      <c r="B308" s="0" t="s">
        <v>474</v>
      </c>
      <c r="C308" s="0" t="s">
        <v>19</v>
      </c>
      <c r="D308" s="0" t="s">
        <v>54</v>
      </c>
      <c r="E308" s="0" t="s">
        <v>21</v>
      </c>
      <c r="F308" s="0" t="s">
        <v>475</v>
      </c>
      <c r="G308" s="0" t="n">
        <v>2</v>
      </c>
      <c r="H308" s="0" t="n">
        <v>756.73</v>
      </c>
      <c r="I308" s="0" t="n">
        <v>1513.46</v>
      </c>
      <c r="J308" s="0" t="n">
        <v>879.18</v>
      </c>
      <c r="K308" s="0" t="n">
        <v>634.28</v>
      </c>
      <c r="L308" s="0" t="s">
        <v>39</v>
      </c>
    </row>
    <row r="309" customFormat="false" ht="15" hidden="false" customHeight="false" outlineLevel="0" collapsed="false">
      <c r="A309" s="0" t="n">
        <v>524095</v>
      </c>
      <c r="B309" s="0" t="s">
        <v>476</v>
      </c>
      <c r="C309" s="0" t="s">
        <v>19</v>
      </c>
      <c r="D309" s="0" t="s">
        <v>25</v>
      </c>
      <c r="E309" s="0" t="s">
        <v>21</v>
      </c>
      <c r="F309" s="0" t="s">
        <v>101</v>
      </c>
      <c r="G309" s="0" t="n">
        <v>1</v>
      </c>
      <c r="H309" s="0" t="n">
        <v>698.91</v>
      </c>
      <c r="I309" s="0" t="n">
        <v>698.91</v>
      </c>
      <c r="J309" s="0" t="n">
        <v>403.6</v>
      </c>
      <c r="K309" s="0" t="n">
        <v>295.31</v>
      </c>
      <c r="L309" s="0" t="s">
        <v>107</v>
      </c>
    </row>
    <row r="310" customFormat="false" ht="15" hidden="false" customHeight="false" outlineLevel="0" collapsed="false">
      <c r="A310" s="0" t="n">
        <v>508281</v>
      </c>
      <c r="B310" s="0" t="s">
        <v>477</v>
      </c>
      <c r="C310" s="0" t="s">
        <v>19</v>
      </c>
      <c r="D310" s="0" t="s">
        <v>20</v>
      </c>
      <c r="E310" s="0" t="s">
        <v>55</v>
      </c>
      <c r="F310" s="0" t="s">
        <v>153</v>
      </c>
      <c r="G310" s="0" t="n">
        <v>2</v>
      </c>
      <c r="H310" s="0" t="n">
        <v>57.26</v>
      </c>
      <c r="I310" s="0" t="n">
        <v>114.52</v>
      </c>
      <c r="J310" s="0" t="n">
        <v>65.28</v>
      </c>
      <c r="K310" s="0" t="n">
        <v>49.24</v>
      </c>
      <c r="L310" s="0" t="s">
        <v>39</v>
      </c>
    </row>
    <row r="311" customFormat="false" ht="15" hidden="false" customHeight="false" outlineLevel="0" collapsed="false">
      <c r="A311" s="0" t="n">
        <v>504873</v>
      </c>
      <c r="B311" s="0" t="s">
        <v>478</v>
      </c>
      <c r="C311" s="0" t="s">
        <v>19</v>
      </c>
      <c r="D311" s="0" t="s">
        <v>25</v>
      </c>
      <c r="E311" s="0" t="s">
        <v>50</v>
      </c>
      <c r="F311" s="0" t="s">
        <v>273</v>
      </c>
      <c r="G311" s="0" t="n">
        <v>1</v>
      </c>
      <c r="H311" s="0" t="n">
        <v>246.59</v>
      </c>
      <c r="I311" s="0" t="n">
        <v>246.59</v>
      </c>
      <c r="J311" s="0" t="n">
        <v>138.73</v>
      </c>
      <c r="K311" s="0" t="n">
        <v>107.86</v>
      </c>
      <c r="L311" s="0" t="s">
        <v>252</v>
      </c>
    </row>
    <row r="312" customFormat="false" ht="15" hidden="false" customHeight="false" outlineLevel="0" collapsed="false">
      <c r="A312" s="0" t="n">
        <v>515662</v>
      </c>
      <c r="B312" s="0" t="s">
        <v>479</v>
      </c>
      <c r="C312" s="0" t="s">
        <v>19</v>
      </c>
      <c r="D312" s="0" t="s">
        <v>54</v>
      </c>
      <c r="E312" s="0" t="s">
        <v>59</v>
      </c>
      <c r="F312" s="0" t="s">
        <v>373</v>
      </c>
      <c r="G312" s="0" t="n">
        <v>1</v>
      </c>
      <c r="H312" s="0" t="n">
        <v>163.5</v>
      </c>
      <c r="I312" s="0" t="n">
        <v>163.5</v>
      </c>
      <c r="J312" s="0" t="n">
        <v>90.4</v>
      </c>
      <c r="K312" s="0" t="n">
        <v>73.1</v>
      </c>
      <c r="L312" s="0" t="s">
        <v>132</v>
      </c>
    </row>
    <row r="313" customFormat="false" ht="15" hidden="false" customHeight="false" outlineLevel="0" collapsed="false">
      <c r="A313" s="0" t="n">
        <v>510461</v>
      </c>
      <c r="B313" s="0" t="s">
        <v>480</v>
      </c>
      <c r="C313" s="0" t="s">
        <v>19</v>
      </c>
      <c r="D313" s="0" t="s">
        <v>54</v>
      </c>
      <c r="E313" s="0" t="s">
        <v>50</v>
      </c>
      <c r="F313" s="0" t="s">
        <v>481</v>
      </c>
      <c r="G313" s="0" t="n">
        <v>1</v>
      </c>
      <c r="H313" s="0" t="n">
        <v>337.92</v>
      </c>
      <c r="I313" s="0" t="n">
        <v>337.92</v>
      </c>
      <c r="J313" s="0" t="n">
        <v>186.42</v>
      </c>
      <c r="K313" s="0" t="n">
        <v>151.5</v>
      </c>
      <c r="L313" s="0" t="s">
        <v>130</v>
      </c>
    </row>
    <row r="314" customFormat="false" ht="15" hidden="false" customHeight="false" outlineLevel="0" collapsed="false">
      <c r="A314" s="0" t="n">
        <v>501067</v>
      </c>
      <c r="B314" s="0" t="s">
        <v>322</v>
      </c>
      <c r="C314" s="0" t="s">
        <v>19</v>
      </c>
      <c r="D314" s="0" t="s">
        <v>20</v>
      </c>
      <c r="E314" s="0" t="s">
        <v>21</v>
      </c>
      <c r="F314" s="0" t="s">
        <v>41</v>
      </c>
      <c r="G314" s="0" t="n">
        <v>2</v>
      </c>
      <c r="H314" s="0" t="n">
        <v>157.69</v>
      </c>
      <c r="I314" s="0" t="n">
        <v>315.38</v>
      </c>
      <c r="J314" s="0" t="n">
        <v>176.9</v>
      </c>
      <c r="K314" s="0" t="n">
        <v>138.48</v>
      </c>
      <c r="L314" s="0" t="s">
        <v>277</v>
      </c>
    </row>
    <row r="315" customFormat="false" ht="15" hidden="false" customHeight="false" outlineLevel="0" collapsed="false">
      <c r="A315" s="0" t="n">
        <v>528873</v>
      </c>
      <c r="B315" s="0" t="s">
        <v>400</v>
      </c>
      <c r="C315" s="0" t="s">
        <v>19</v>
      </c>
      <c r="D315" s="0" t="s">
        <v>54</v>
      </c>
      <c r="E315" s="0" t="s">
        <v>55</v>
      </c>
      <c r="F315" s="0" t="s">
        <v>402</v>
      </c>
      <c r="G315" s="0" t="n">
        <v>2</v>
      </c>
      <c r="H315" s="0" t="n">
        <v>194.14</v>
      </c>
      <c r="I315" s="0" t="n">
        <v>388.28</v>
      </c>
      <c r="J315" s="0" t="n">
        <v>224.74</v>
      </c>
      <c r="K315" s="0" t="n">
        <v>163.54</v>
      </c>
      <c r="L315" s="0" t="s">
        <v>214</v>
      </c>
    </row>
    <row r="316" customFormat="false" ht="15" hidden="false" customHeight="false" outlineLevel="0" collapsed="false">
      <c r="A316" s="0" t="n">
        <v>511551</v>
      </c>
      <c r="B316" s="0" t="s">
        <v>482</v>
      </c>
      <c r="C316" s="0" t="s">
        <v>19</v>
      </c>
      <c r="D316" s="0" t="s">
        <v>25</v>
      </c>
      <c r="E316" s="0" t="s">
        <v>59</v>
      </c>
      <c r="F316" s="0" t="s">
        <v>106</v>
      </c>
      <c r="G316" s="0" t="n">
        <v>1</v>
      </c>
      <c r="H316" s="0" t="n">
        <v>149.1</v>
      </c>
      <c r="I316" s="0" t="n">
        <v>149.1</v>
      </c>
      <c r="J316" s="0" t="n">
        <v>82.63</v>
      </c>
      <c r="K316" s="0" t="n">
        <v>66.47</v>
      </c>
      <c r="L316" s="0" t="s">
        <v>73</v>
      </c>
    </row>
    <row r="317" customFormat="false" ht="15" hidden="false" customHeight="false" outlineLevel="0" collapsed="false">
      <c r="A317" s="0" t="n">
        <v>500647</v>
      </c>
      <c r="B317" s="0" t="s">
        <v>483</v>
      </c>
      <c r="C317" s="0" t="s">
        <v>19</v>
      </c>
      <c r="D317" s="0" t="s">
        <v>33</v>
      </c>
      <c r="E317" s="0" t="s">
        <v>21</v>
      </c>
      <c r="F317" s="0" t="s">
        <v>72</v>
      </c>
      <c r="G317" s="0" t="n">
        <v>1</v>
      </c>
      <c r="H317" s="0" t="n">
        <v>1121.93</v>
      </c>
      <c r="I317" s="0" t="n">
        <v>1121.93</v>
      </c>
      <c r="J317" s="0" t="n">
        <v>669.65</v>
      </c>
      <c r="K317" s="0" t="n">
        <v>452.28</v>
      </c>
      <c r="L317" s="0" t="s">
        <v>277</v>
      </c>
    </row>
    <row r="318" customFormat="false" ht="15" hidden="false" customHeight="false" outlineLevel="0" collapsed="false">
      <c r="A318" s="0" t="n">
        <v>528460</v>
      </c>
      <c r="B318" s="0" t="s">
        <v>484</v>
      </c>
      <c r="C318" s="0" t="s">
        <v>19</v>
      </c>
      <c r="D318" s="0" t="s">
        <v>54</v>
      </c>
      <c r="E318" s="0" t="s">
        <v>29</v>
      </c>
      <c r="F318" s="0" t="s">
        <v>337</v>
      </c>
      <c r="G318" s="0" t="n">
        <v>1</v>
      </c>
      <c r="H318" s="0" t="n">
        <v>607.19</v>
      </c>
      <c r="I318" s="0" t="n">
        <v>607.19</v>
      </c>
      <c r="J318" s="0" t="n">
        <v>351.25</v>
      </c>
      <c r="K318" s="0" t="n">
        <v>255.94</v>
      </c>
      <c r="L318" s="0" t="s">
        <v>52</v>
      </c>
    </row>
    <row r="319" customFormat="false" ht="15" hidden="false" customHeight="false" outlineLevel="0" collapsed="false">
      <c r="A319" s="0" t="n">
        <v>510573</v>
      </c>
      <c r="B319" s="0" t="s">
        <v>485</v>
      </c>
      <c r="C319" s="0" t="s">
        <v>19</v>
      </c>
      <c r="D319" s="0" t="s">
        <v>20</v>
      </c>
      <c r="E319" s="0" t="s">
        <v>21</v>
      </c>
      <c r="F319" s="0" t="s">
        <v>281</v>
      </c>
      <c r="G319" s="0" t="n">
        <v>4</v>
      </c>
      <c r="H319" s="0" t="n">
        <v>815.7</v>
      </c>
      <c r="I319" s="0" t="n">
        <v>3262.8</v>
      </c>
      <c r="J319" s="0" t="n">
        <v>1849.24</v>
      </c>
      <c r="K319" s="0" t="n">
        <v>1413.56</v>
      </c>
      <c r="L319" s="0" t="s">
        <v>130</v>
      </c>
    </row>
    <row r="320" customFormat="false" ht="15" hidden="false" customHeight="false" outlineLevel="0" collapsed="false">
      <c r="A320" s="0" t="n">
        <v>510223</v>
      </c>
      <c r="B320" s="0" t="s">
        <v>389</v>
      </c>
      <c r="C320" s="0" t="s">
        <v>19</v>
      </c>
      <c r="D320" s="0" t="s">
        <v>33</v>
      </c>
      <c r="E320" s="0" t="s">
        <v>29</v>
      </c>
      <c r="F320" s="0" t="s">
        <v>85</v>
      </c>
      <c r="G320" s="0" t="n">
        <v>1</v>
      </c>
      <c r="H320" s="0" t="n">
        <v>610.11</v>
      </c>
      <c r="I320" s="0" t="n">
        <v>610.11</v>
      </c>
      <c r="J320" s="0" t="n">
        <v>346.6</v>
      </c>
      <c r="K320" s="0" t="n">
        <v>263.51</v>
      </c>
      <c r="L320" s="0" t="s">
        <v>130</v>
      </c>
    </row>
    <row r="321" customFormat="false" ht="15" hidden="false" customHeight="false" outlineLevel="0" collapsed="false">
      <c r="A321" s="0" t="n">
        <v>537438</v>
      </c>
      <c r="B321" s="0" t="s">
        <v>343</v>
      </c>
      <c r="C321" s="0" t="s">
        <v>19</v>
      </c>
      <c r="D321" s="0" t="s">
        <v>37</v>
      </c>
      <c r="E321" s="0" t="s">
        <v>47</v>
      </c>
      <c r="F321" s="0" t="s">
        <v>461</v>
      </c>
      <c r="G321" s="0" t="n">
        <v>2</v>
      </c>
      <c r="H321" s="0" t="n">
        <v>560.91</v>
      </c>
      <c r="I321" s="0" t="n">
        <v>1121.82</v>
      </c>
      <c r="J321" s="0" t="n">
        <v>624.24</v>
      </c>
      <c r="K321" s="0" t="n">
        <v>497.58</v>
      </c>
      <c r="L321" s="0" t="s">
        <v>64</v>
      </c>
    </row>
    <row r="322" customFormat="false" ht="15" hidden="false" customHeight="false" outlineLevel="0" collapsed="false">
      <c r="A322" s="0" t="n">
        <v>507185</v>
      </c>
      <c r="B322" s="0" t="s">
        <v>328</v>
      </c>
      <c r="C322" s="0" t="s">
        <v>19</v>
      </c>
      <c r="D322" s="0" t="s">
        <v>54</v>
      </c>
      <c r="E322" s="0" t="s">
        <v>21</v>
      </c>
      <c r="F322" s="0" t="s">
        <v>211</v>
      </c>
      <c r="G322" s="0" t="n">
        <v>2</v>
      </c>
      <c r="H322" s="0" t="n">
        <v>1036.08</v>
      </c>
      <c r="I322" s="0" t="n">
        <v>2072.16</v>
      </c>
      <c r="J322" s="0" t="n">
        <v>1160.32</v>
      </c>
      <c r="K322" s="0" t="n">
        <v>911.84</v>
      </c>
      <c r="L322" s="0" t="s">
        <v>154</v>
      </c>
    </row>
    <row r="323" customFormat="false" ht="15" hidden="false" customHeight="false" outlineLevel="0" collapsed="false">
      <c r="A323" s="0" t="n">
        <v>536511</v>
      </c>
      <c r="B323" s="0" t="s">
        <v>62</v>
      </c>
      <c r="C323" s="0" t="s">
        <v>19</v>
      </c>
      <c r="D323" s="0" t="s">
        <v>25</v>
      </c>
      <c r="E323" s="0" t="s">
        <v>59</v>
      </c>
      <c r="F323" s="0" t="s">
        <v>414</v>
      </c>
      <c r="G323" s="0" t="n">
        <v>2</v>
      </c>
      <c r="H323" s="0" t="n">
        <v>125</v>
      </c>
      <c r="I323" s="0" t="n">
        <v>250</v>
      </c>
      <c r="J323" s="0" t="n">
        <v>149.02</v>
      </c>
      <c r="K323" s="0" t="n">
        <v>100.98</v>
      </c>
      <c r="L323" s="0" t="s">
        <v>64</v>
      </c>
    </row>
    <row r="324" customFormat="false" ht="15" hidden="false" customHeight="false" outlineLevel="0" collapsed="false">
      <c r="A324" s="0" t="n">
        <v>534363</v>
      </c>
      <c r="B324" s="0" t="s">
        <v>89</v>
      </c>
      <c r="C324" s="0" t="s">
        <v>19</v>
      </c>
      <c r="D324" s="0" t="s">
        <v>20</v>
      </c>
      <c r="E324" s="0" t="s">
        <v>29</v>
      </c>
      <c r="F324" s="0" t="s">
        <v>206</v>
      </c>
      <c r="G324" s="0" t="n">
        <v>2</v>
      </c>
      <c r="H324" s="0" t="n">
        <v>112.44</v>
      </c>
      <c r="I324" s="0" t="n">
        <v>224.88</v>
      </c>
      <c r="J324" s="0" t="n">
        <v>133.08</v>
      </c>
      <c r="K324" s="0" t="n">
        <v>91.8</v>
      </c>
      <c r="L324" s="0" t="s">
        <v>70</v>
      </c>
    </row>
    <row r="325" customFormat="false" ht="15" hidden="false" customHeight="false" outlineLevel="0" collapsed="false">
      <c r="A325" s="0" t="n">
        <v>522246</v>
      </c>
      <c r="B325" s="0" t="s">
        <v>486</v>
      </c>
      <c r="C325" s="0" t="s">
        <v>19</v>
      </c>
      <c r="D325" s="0" t="s">
        <v>25</v>
      </c>
      <c r="E325" s="0" t="s">
        <v>50</v>
      </c>
      <c r="F325" s="0" t="s">
        <v>294</v>
      </c>
      <c r="G325" s="0" t="n">
        <v>1</v>
      </c>
      <c r="H325" s="0" t="n">
        <v>301.34</v>
      </c>
      <c r="I325" s="0" t="n">
        <v>301.34</v>
      </c>
      <c r="J325" s="0" t="n">
        <v>171.7</v>
      </c>
      <c r="K325" s="0" t="n">
        <v>129.64</v>
      </c>
      <c r="L325" s="0" t="s">
        <v>76</v>
      </c>
    </row>
    <row r="326" customFormat="false" ht="15" hidden="false" customHeight="false" outlineLevel="0" collapsed="false">
      <c r="A326" s="0" t="n">
        <v>505353</v>
      </c>
      <c r="B326" s="0" t="s">
        <v>487</v>
      </c>
      <c r="C326" s="0" t="s">
        <v>19</v>
      </c>
      <c r="D326" s="0" t="s">
        <v>54</v>
      </c>
      <c r="E326" s="0" t="s">
        <v>50</v>
      </c>
      <c r="F326" s="0" t="s">
        <v>166</v>
      </c>
      <c r="G326" s="0" t="n">
        <v>1</v>
      </c>
      <c r="H326" s="0" t="n">
        <v>296.46</v>
      </c>
      <c r="I326" s="0" t="n">
        <v>296.46</v>
      </c>
      <c r="J326" s="0" t="n">
        <v>171.82</v>
      </c>
      <c r="K326" s="0" t="n">
        <v>124.64</v>
      </c>
      <c r="L326" s="0" t="s">
        <v>222</v>
      </c>
    </row>
    <row r="327" customFormat="false" ht="15" hidden="false" customHeight="false" outlineLevel="0" collapsed="false">
      <c r="A327" s="0" t="n">
        <v>536402</v>
      </c>
      <c r="B327" s="0" t="s">
        <v>416</v>
      </c>
      <c r="C327" s="0" t="s">
        <v>19</v>
      </c>
      <c r="D327" s="0" t="s">
        <v>20</v>
      </c>
      <c r="E327" s="0" t="s">
        <v>47</v>
      </c>
      <c r="F327" s="0" t="s">
        <v>488</v>
      </c>
      <c r="G327" s="0" t="n">
        <v>1</v>
      </c>
      <c r="H327" s="0" t="n">
        <v>594.54</v>
      </c>
      <c r="I327" s="0" t="n">
        <v>594.54</v>
      </c>
      <c r="J327" s="0" t="n">
        <v>338.42</v>
      </c>
      <c r="K327" s="0" t="n">
        <v>256.12</v>
      </c>
      <c r="L327" s="0" t="s">
        <v>64</v>
      </c>
    </row>
    <row r="328" customFormat="false" ht="15" hidden="false" customHeight="false" outlineLevel="0" collapsed="false">
      <c r="A328" s="0" t="n">
        <v>511345</v>
      </c>
      <c r="B328" s="0" t="s">
        <v>489</v>
      </c>
      <c r="C328" s="0" t="s">
        <v>19</v>
      </c>
      <c r="D328" s="0" t="s">
        <v>25</v>
      </c>
      <c r="E328" s="0" t="s">
        <v>50</v>
      </c>
      <c r="F328" s="0" t="s">
        <v>202</v>
      </c>
      <c r="G328" s="0" t="n">
        <v>2</v>
      </c>
      <c r="H328" s="0" t="n">
        <v>269.26</v>
      </c>
      <c r="I328" s="0" t="n">
        <v>538.52</v>
      </c>
      <c r="J328" s="0" t="n">
        <v>311.56</v>
      </c>
      <c r="K328" s="0" t="n">
        <v>226.96</v>
      </c>
      <c r="L328" s="0" t="s">
        <v>73</v>
      </c>
    </row>
    <row r="329" customFormat="false" ht="15" hidden="false" customHeight="false" outlineLevel="0" collapsed="false">
      <c r="A329" s="0" t="n">
        <v>510394</v>
      </c>
      <c r="B329" s="0" t="s">
        <v>490</v>
      </c>
      <c r="C329" s="0" t="s">
        <v>19</v>
      </c>
      <c r="D329" s="0" t="s">
        <v>25</v>
      </c>
      <c r="E329" s="0" t="s">
        <v>55</v>
      </c>
      <c r="F329" s="0" t="s">
        <v>197</v>
      </c>
      <c r="G329" s="0" t="n">
        <v>2</v>
      </c>
      <c r="H329" s="0" t="n">
        <v>75.73</v>
      </c>
      <c r="I329" s="0" t="n">
        <v>151.46</v>
      </c>
      <c r="J329" s="0" t="n">
        <v>85.62</v>
      </c>
      <c r="K329" s="0" t="n">
        <v>65.84</v>
      </c>
      <c r="L329" s="0" t="s">
        <v>130</v>
      </c>
    </row>
    <row r="330" customFormat="false" ht="15" hidden="false" customHeight="false" outlineLevel="0" collapsed="false">
      <c r="A330" s="0" t="n">
        <v>534294</v>
      </c>
      <c r="B330" s="0" t="s">
        <v>367</v>
      </c>
      <c r="C330" s="0" t="s">
        <v>19</v>
      </c>
      <c r="D330" s="0" t="s">
        <v>54</v>
      </c>
      <c r="E330" s="0" t="s">
        <v>21</v>
      </c>
      <c r="F330" s="0" t="s">
        <v>208</v>
      </c>
      <c r="G330" s="0" t="n">
        <v>3</v>
      </c>
      <c r="H330" s="0" t="n">
        <v>704.19</v>
      </c>
      <c r="I330" s="0" t="n">
        <v>2112.57</v>
      </c>
      <c r="J330" s="0" t="n">
        <v>1216.47</v>
      </c>
      <c r="K330" s="0" t="n">
        <v>896.1</v>
      </c>
      <c r="L330" s="0" t="s">
        <v>70</v>
      </c>
    </row>
    <row r="331" customFormat="false" ht="15" hidden="false" customHeight="false" outlineLevel="0" collapsed="false">
      <c r="A331" s="0" t="n">
        <v>517154</v>
      </c>
      <c r="B331" s="0" t="s">
        <v>491</v>
      </c>
      <c r="C331" s="0" t="s">
        <v>19</v>
      </c>
      <c r="D331" s="0" t="s">
        <v>33</v>
      </c>
      <c r="E331" s="0" t="s">
        <v>55</v>
      </c>
      <c r="F331" s="0" t="s">
        <v>492</v>
      </c>
      <c r="G331" s="0" t="n">
        <v>3</v>
      </c>
      <c r="H331" s="0" t="n">
        <v>42.59</v>
      </c>
      <c r="I331" s="0" t="n">
        <v>127.77</v>
      </c>
      <c r="J331" s="0" t="n">
        <v>74.04</v>
      </c>
      <c r="K331" s="0" t="n">
        <v>53.73</v>
      </c>
      <c r="L331" s="0" t="s">
        <v>79</v>
      </c>
    </row>
    <row r="332" customFormat="false" ht="15" hidden="false" customHeight="false" outlineLevel="0" collapsed="false">
      <c r="A332" s="0" t="n">
        <v>502171</v>
      </c>
      <c r="B332" s="0" t="s">
        <v>493</v>
      </c>
      <c r="C332" s="0" t="s">
        <v>19</v>
      </c>
      <c r="D332" s="0" t="s">
        <v>25</v>
      </c>
      <c r="E332" s="0" t="s">
        <v>47</v>
      </c>
      <c r="F332" s="0" t="s">
        <v>92</v>
      </c>
      <c r="G332" s="0" t="n">
        <v>1</v>
      </c>
      <c r="H332" s="0" t="n">
        <v>521.17</v>
      </c>
      <c r="I332" s="0" t="n">
        <v>521.17</v>
      </c>
      <c r="J332" s="0" t="n">
        <v>304.83</v>
      </c>
      <c r="K332" s="0" t="n">
        <v>216.34</v>
      </c>
      <c r="L332" s="0" t="s">
        <v>61</v>
      </c>
    </row>
    <row r="333" customFormat="false" ht="15" hidden="false" customHeight="false" outlineLevel="0" collapsed="false">
      <c r="A333" s="0" t="n">
        <v>515622</v>
      </c>
      <c r="B333" s="0" t="s">
        <v>494</v>
      </c>
      <c r="C333" s="0" t="s">
        <v>19</v>
      </c>
      <c r="D333" s="0" t="s">
        <v>37</v>
      </c>
      <c r="E333" s="0" t="s">
        <v>59</v>
      </c>
      <c r="F333" s="0" t="s">
        <v>129</v>
      </c>
      <c r="G333" s="0" t="n">
        <v>1</v>
      </c>
      <c r="H333" s="0" t="n">
        <v>124.03</v>
      </c>
      <c r="I333" s="0" t="n">
        <v>124.03</v>
      </c>
      <c r="J333" s="0" t="n">
        <v>71.58</v>
      </c>
      <c r="K333" s="0" t="n">
        <v>52.45</v>
      </c>
      <c r="L333" s="0" t="s">
        <v>132</v>
      </c>
    </row>
    <row r="334" customFormat="false" ht="15" hidden="false" customHeight="false" outlineLevel="0" collapsed="false">
      <c r="A334" s="0" t="n">
        <v>514830</v>
      </c>
      <c r="B334" s="0" t="s">
        <v>495</v>
      </c>
      <c r="C334" s="0" t="s">
        <v>19</v>
      </c>
      <c r="D334" s="0" t="s">
        <v>20</v>
      </c>
      <c r="E334" s="0" t="s">
        <v>29</v>
      </c>
      <c r="F334" s="0" t="s">
        <v>99</v>
      </c>
      <c r="G334" s="0" t="n">
        <v>2</v>
      </c>
      <c r="H334" s="0" t="n">
        <v>480.4</v>
      </c>
      <c r="I334" s="0" t="n">
        <v>960.8</v>
      </c>
      <c r="J334" s="0" t="n">
        <v>539.5</v>
      </c>
      <c r="K334" s="0" t="n">
        <v>421.3</v>
      </c>
      <c r="L334" s="0" t="s">
        <v>97</v>
      </c>
    </row>
    <row r="335" customFormat="false" ht="15" hidden="false" customHeight="false" outlineLevel="0" collapsed="false">
      <c r="A335" s="0" t="n">
        <v>502753</v>
      </c>
      <c r="B335" s="0" t="s">
        <v>496</v>
      </c>
      <c r="C335" s="0" t="s">
        <v>19</v>
      </c>
      <c r="D335" s="0" t="s">
        <v>54</v>
      </c>
      <c r="E335" s="0" t="s">
        <v>29</v>
      </c>
      <c r="F335" s="0" t="s">
        <v>497</v>
      </c>
      <c r="G335" s="0" t="n">
        <v>1</v>
      </c>
      <c r="H335" s="0" t="n">
        <v>556.24</v>
      </c>
      <c r="I335" s="0" t="n">
        <v>556.24</v>
      </c>
      <c r="J335" s="0" t="n">
        <v>322.44</v>
      </c>
      <c r="K335" s="0" t="n">
        <v>233.8</v>
      </c>
      <c r="L335" s="0" t="s">
        <v>102</v>
      </c>
    </row>
    <row r="336" customFormat="false" ht="15" hidden="false" customHeight="false" outlineLevel="0" collapsed="false">
      <c r="A336" s="0" t="n">
        <v>501961</v>
      </c>
      <c r="B336" s="0" t="s">
        <v>377</v>
      </c>
      <c r="C336" s="0" t="s">
        <v>19</v>
      </c>
      <c r="D336" s="0" t="s">
        <v>37</v>
      </c>
      <c r="E336" s="0" t="s">
        <v>29</v>
      </c>
      <c r="F336" s="0" t="s">
        <v>44</v>
      </c>
      <c r="G336" s="0" t="n">
        <v>1</v>
      </c>
      <c r="H336" s="0" t="n">
        <v>513.59</v>
      </c>
      <c r="I336" s="0" t="n">
        <v>513.59</v>
      </c>
      <c r="J336" s="0" t="n">
        <v>296.49</v>
      </c>
      <c r="K336" s="0" t="n">
        <v>217.1</v>
      </c>
      <c r="L336" s="0" t="s">
        <v>61</v>
      </c>
    </row>
    <row r="337" customFormat="false" ht="15" hidden="false" customHeight="false" outlineLevel="0" collapsed="false">
      <c r="A337" s="0" t="n">
        <v>530504</v>
      </c>
      <c r="B337" s="0" t="s">
        <v>498</v>
      </c>
      <c r="C337" s="0" t="s">
        <v>19</v>
      </c>
      <c r="D337" s="0" t="s">
        <v>25</v>
      </c>
      <c r="E337" s="0" t="s">
        <v>47</v>
      </c>
      <c r="F337" s="0" t="s">
        <v>499</v>
      </c>
      <c r="G337" s="0" t="n">
        <v>1</v>
      </c>
      <c r="H337" s="0" t="n">
        <v>583.56</v>
      </c>
      <c r="I337" s="0" t="n">
        <v>583.56</v>
      </c>
      <c r="J337" s="0" t="n">
        <v>336.83</v>
      </c>
      <c r="K337" s="0" t="n">
        <v>246.73</v>
      </c>
      <c r="L337" s="0" t="s">
        <v>57</v>
      </c>
    </row>
    <row r="338" customFormat="false" ht="15" hidden="false" customHeight="false" outlineLevel="0" collapsed="false">
      <c r="A338" s="0" t="n">
        <v>527892</v>
      </c>
      <c r="B338" s="0" t="s">
        <v>500</v>
      </c>
      <c r="C338" s="0" t="s">
        <v>19</v>
      </c>
      <c r="D338" s="0" t="s">
        <v>54</v>
      </c>
      <c r="E338" s="0" t="s">
        <v>59</v>
      </c>
      <c r="F338" s="0" t="s">
        <v>339</v>
      </c>
      <c r="G338" s="0" t="n">
        <v>1</v>
      </c>
      <c r="H338" s="0" t="n">
        <v>32.97</v>
      </c>
      <c r="I338" s="0" t="n">
        <v>32.97</v>
      </c>
      <c r="J338" s="0" t="n">
        <v>19.09</v>
      </c>
      <c r="K338" s="0" t="n">
        <v>13.88</v>
      </c>
      <c r="L338" s="0" t="s">
        <v>52</v>
      </c>
    </row>
    <row r="339" customFormat="false" ht="15" hidden="false" customHeight="false" outlineLevel="0" collapsed="false">
      <c r="A339" s="0" t="n">
        <v>512502</v>
      </c>
      <c r="B339" s="0" t="s">
        <v>501</v>
      </c>
      <c r="C339" s="0" t="s">
        <v>19</v>
      </c>
      <c r="D339" s="0" t="s">
        <v>54</v>
      </c>
      <c r="E339" s="0" t="s">
        <v>55</v>
      </c>
      <c r="F339" s="0" t="s">
        <v>56</v>
      </c>
      <c r="G339" s="0" t="n">
        <v>1</v>
      </c>
      <c r="H339" s="0" t="n">
        <v>102.66</v>
      </c>
      <c r="I339" s="0" t="n">
        <v>102.66</v>
      </c>
      <c r="J339" s="0" t="n">
        <v>59.39</v>
      </c>
      <c r="K339" s="0" t="n">
        <v>43.27</v>
      </c>
      <c r="L339" s="0" t="s">
        <v>243</v>
      </c>
    </row>
    <row r="340" customFormat="false" ht="15" hidden="false" customHeight="false" outlineLevel="0" collapsed="false">
      <c r="A340" s="0" t="n">
        <v>525270</v>
      </c>
      <c r="B340" s="0" t="s">
        <v>502</v>
      </c>
      <c r="C340" s="0" t="s">
        <v>19</v>
      </c>
      <c r="D340" s="0" t="s">
        <v>33</v>
      </c>
      <c r="E340" s="0" t="s">
        <v>50</v>
      </c>
      <c r="F340" s="0" t="s">
        <v>445</v>
      </c>
      <c r="G340" s="0" t="n">
        <v>3</v>
      </c>
      <c r="H340" s="0" t="n">
        <v>292.46</v>
      </c>
      <c r="I340" s="0" t="n">
        <v>877.38</v>
      </c>
      <c r="J340" s="0" t="n">
        <v>496.5</v>
      </c>
      <c r="K340" s="0" t="n">
        <v>380.88</v>
      </c>
      <c r="L340" s="0" t="s">
        <v>127</v>
      </c>
    </row>
    <row r="341" customFormat="false" ht="15" hidden="false" customHeight="false" outlineLevel="0" collapsed="false">
      <c r="A341" s="0" t="n">
        <v>534613</v>
      </c>
      <c r="B341" s="0" t="s">
        <v>372</v>
      </c>
      <c r="C341" s="0" t="s">
        <v>19</v>
      </c>
      <c r="D341" s="0" t="s">
        <v>54</v>
      </c>
      <c r="E341" s="0" t="s">
        <v>21</v>
      </c>
      <c r="F341" s="0" t="s">
        <v>181</v>
      </c>
      <c r="G341" s="0" t="n">
        <v>1</v>
      </c>
      <c r="H341" s="0" t="n">
        <v>410.82</v>
      </c>
      <c r="I341" s="0" t="n">
        <v>410.82</v>
      </c>
      <c r="J341" s="0" t="n">
        <v>228.45</v>
      </c>
      <c r="K341" s="0" t="n">
        <v>182.37</v>
      </c>
      <c r="L341" s="0" t="s">
        <v>70</v>
      </c>
    </row>
    <row r="342" customFormat="false" ht="15" hidden="false" customHeight="false" outlineLevel="0" collapsed="false">
      <c r="A342" s="0" t="n">
        <v>508163</v>
      </c>
      <c r="B342" s="0" t="s">
        <v>503</v>
      </c>
      <c r="C342" s="0" t="s">
        <v>19</v>
      </c>
      <c r="D342" s="0" t="s">
        <v>33</v>
      </c>
      <c r="E342" s="0" t="s">
        <v>55</v>
      </c>
      <c r="F342" s="0" t="s">
        <v>111</v>
      </c>
      <c r="G342" s="0" t="n">
        <v>1</v>
      </c>
      <c r="H342" s="0" t="n">
        <v>164.76</v>
      </c>
      <c r="I342" s="0" t="n">
        <v>164.76</v>
      </c>
      <c r="J342" s="0" t="n">
        <v>94.24</v>
      </c>
      <c r="K342" s="0" t="n">
        <v>70.52</v>
      </c>
      <c r="L342" s="0" t="s">
        <v>39</v>
      </c>
    </row>
    <row r="343" customFormat="false" ht="15" hidden="false" customHeight="false" outlineLevel="0" collapsed="false">
      <c r="A343" s="0" t="n">
        <v>526203</v>
      </c>
      <c r="B343" s="0" t="s">
        <v>504</v>
      </c>
      <c r="C343" s="0" t="s">
        <v>19</v>
      </c>
      <c r="D343" s="0" t="s">
        <v>33</v>
      </c>
      <c r="E343" s="0" t="s">
        <v>55</v>
      </c>
      <c r="F343" s="0" t="s">
        <v>113</v>
      </c>
      <c r="G343" s="0" t="n">
        <v>4</v>
      </c>
      <c r="H343" s="0" t="n">
        <v>77.35</v>
      </c>
      <c r="I343" s="0" t="n">
        <v>309.4</v>
      </c>
      <c r="J343" s="0" t="n">
        <v>181.24</v>
      </c>
      <c r="K343" s="0" t="n">
        <v>128.16</v>
      </c>
      <c r="L343" s="0" t="s">
        <v>42</v>
      </c>
    </row>
    <row r="344" customFormat="false" ht="15" hidden="false" customHeight="false" outlineLevel="0" collapsed="false">
      <c r="A344" s="0" t="n">
        <v>509983</v>
      </c>
      <c r="B344" s="0" t="s">
        <v>505</v>
      </c>
      <c r="C344" s="0" t="s">
        <v>19</v>
      </c>
      <c r="D344" s="0" t="s">
        <v>54</v>
      </c>
      <c r="E344" s="0" t="s">
        <v>21</v>
      </c>
      <c r="F344" s="0" t="s">
        <v>208</v>
      </c>
      <c r="G344" s="0" t="n">
        <v>2</v>
      </c>
      <c r="H344" s="0" t="n">
        <v>733.35</v>
      </c>
      <c r="I344" s="0" t="n">
        <v>1466.7</v>
      </c>
      <c r="J344" s="0" t="n">
        <v>810.98</v>
      </c>
      <c r="K344" s="0" t="n">
        <v>655.72</v>
      </c>
      <c r="L344" s="0" t="s">
        <v>130</v>
      </c>
    </row>
    <row r="345" customFormat="false" ht="15" hidden="false" customHeight="false" outlineLevel="0" collapsed="false">
      <c r="A345" s="0" t="n">
        <v>536941</v>
      </c>
      <c r="B345" s="0" t="s">
        <v>506</v>
      </c>
      <c r="C345" s="0" t="s">
        <v>19</v>
      </c>
      <c r="D345" s="0" t="s">
        <v>33</v>
      </c>
      <c r="E345" s="0" t="s">
        <v>50</v>
      </c>
      <c r="F345" s="0" t="s">
        <v>481</v>
      </c>
      <c r="G345" s="0" t="n">
        <v>1</v>
      </c>
      <c r="H345" s="0" t="n">
        <v>317.3</v>
      </c>
      <c r="I345" s="0" t="n">
        <v>317.3</v>
      </c>
      <c r="J345" s="0" t="n">
        <v>186.42</v>
      </c>
      <c r="K345" s="0" t="n">
        <v>130.88</v>
      </c>
      <c r="L345" s="0" t="s">
        <v>64</v>
      </c>
    </row>
    <row r="346" customFormat="false" ht="15" hidden="false" customHeight="false" outlineLevel="0" collapsed="false">
      <c r="A346" s="0" t="n">
        <v>526597</v>
      </c>
      <c r="B346" s="0" t="s">
        <v>507</v>
      </c>
      <c r="C346" s="0" t="s">
        <v>19</v>
      </c>
      <c r="D346" s="0" t="s">
        <v>37</v>
      </c>
      <c r="E346" s="0" t="s">
        <v>47</v>
      </c>
      <c r="F346" s="0" t="s">
        <v>508</v>
      </c>
      <c r="G346" s="0" t="n">
        <v>1</v>
      </c>
      <c r="H346" s="0" t="n">
        <v>291.89</v>
      </c>
      <c r="I346" s="0" t="n">
        <v>291.89</v>
      </c>
      <c r="J346" s="0" t="n">
        <v>164.63</v>
      </c>
      <c r="K346" s="0" t="n">
        <v>127.26</v>
      </c>
      <c r="L346" s="0" t="s">
        <v>88</v>
      </c>
    </row>
    <row r="347" customFormat="false" ht="15" hidden="false" customHeight="false" outlineLevel="0" collapsed="false">
      <c r="A347" s="0" t="n">
        <v>534470</v>
      </c>
      <c r="B347" s="0" t="s">
        <v>509</v>
      </c>
      <c r="C347" s="0" t="s">
        <v>19</v>
      </c>
      <c r="D347" s="0" t="s">
        <v>20</v>
      </c>
      <c r="E347" s="0" t="s">
        <v>47</v>
      </c>
      <c r="F347" s="0" t="s">
        <v>510</v>
      </c>
      <c r="G347" s="0" t="n">
        <v>1</v>
      </c>
      <c r="H347" s="0" t="n">
        <v>656.5</v>
      </c>
      <c r="I347" s="0" t="n">
        <v>656.5</v>
      </c>
      <c r="J347" s="0" t="n">
        <v>368.6</v>
      </c>
      <c r="K347" s="0" t="n">
        <v>287.9</v>
      </c>
      <c r="L347" s="0" t="s">
        <v>70</v>
      </c>
    </row>
    <row r="348" customFormat="false" ht="15" hidden="false" customHeight="false" outlineLevel="0" collapsed="false">
      <c r="A348" s="0" t="n">
        <v>522843</v>
      </c>
      <c r="B348" s="0" t="s">
        <v>511</v>
      </c>
      <c r="C348" s="0" t="s">
        <v>19</v>
      </c>
      <c r="D348" s="0" t="s">
        <v>37</v>
      </c>
      <c r="E348" s="0" t="s">
        <v>50</v>
      </c>
      <c r="F348" s="0" t="s">
        <v>194</v>
      </c>
      <c r="G348" s="0" t="n">
        <v>1</v>
      </c>
      <c r="H348" s="0" t="n">
        <v>250.22</v>
      </c>
      <c r="I348" s="0" t="n">
        <v>250.22</v>
      </c>
      <c r="J348" s="0" t="n">
        <v>149.37</v>
      </c>
      <c r="K348" s="0" t="n">
        <v>100.85</v>
      </c>
      <c r="L348" s="0" t="s">
        <v>76</v>
      </c>
    </row>
    <row r="349" customFormat="false" ht="15" hidden="false" customHeight="false" outlineLevel="0" collapsed="false">
      <c r="A349" s="0" t="n">
        <v>522416</v>
      </c>
      <c r="B349" s="0" t="s">
        <v>512</v>
      </c>
      <c r="C349" s="0" t="s">
        <v>19</v>
      </c>
      <c r="D349" s="0" t="s">
        <v>25</v>
      </c>
      <c r="E349" s="0" t="s">
        <v>50</v>
      </c>
      <c r="F349" s="0" t="s">
        <v>294</v>
      </c>
      <c r="G349" s="0" t="n">
        <v>1</v>
      </c>
      <c r="H349" s="0" t="n">
        <v>308.57</v>
      </c>
      <c r="I349" s="0" t="n">
        <v>308.57</v>
      </c>
      <c r="J349" s="0" t="n">
        <v>171.7</v>
      </c>
      <c r="K349" s="0" t="n">
        <v>136.87</v>
      </c>
      <c r="L349" s="0" t="s">
        <v>76</v>
      </c>
    </row>
    <row r="350" customFormat="false" ht="15" hidden="false" customHeight="false" outlineLevel="0" collapsed="false">
      <c r="A350" s="0" t="n">
        <v>519375</v>
      </c>
      <c r="B350" s="0" t="s">
        <v>427</v>
      </c>
      <c r="C350" s="0" t="s">
        <v>19</v>
      </c>
      <c r="D350" s="0" t="s">
        <v>54</v>
      </c>
      <c r="E350" s="0" t="s">
        <v>29</v>
      </c>
      <c r="F350" s="0" t="s">
        <v>513</v>
      </c>
      <c r="G350" s="0" t="n">
        <v>2</v>
      </c>
      <c r="H350" s="0" t="n">
        <v>694.28</v>
      </c>
      <c r="I350" s="0" t="n">
        <v>1388.56</v>
      </c>
      <c r="J350" s="0" t="n">
        <v>806.22</v>
      </c>
      <c r="K350" s="0" t="n">
        <v>582.34</v>
      </c>
      <c r="L350" s="0" t="s">
        <v>198</v>
      </c>
    </row>
    <row r="351" customFormat="false" ht="15" hidden="false" customHeight="false" outlineLevel="0" collapsed="false">
      <c r="A351" s="0" t="n">
        <v>530971</v>
      </c>
      <c r="B351" s="0" t="s">
        <v>454</v>
      </c>
      <c r="C351" s="0" t="s">
        <v>19</v>
      </c>
      <c r="D351" s="0" t="s">
        <v>20</v>
      </c>
      <c r="E351" s="0" t="s">
        <v>50</v>
      </c>
      <c r="F351" s="0" t="s">
        <v>331</v>
      </c>
      <c r="G351" s="0" t="n">
        <v>4</v>
      </c>
      <c r="H351" s="0" t="n">
        <v>103</v>
      </c>
      <c r="I351" s="0" t="n">
        <v>412</v>
      </c>
      <c r="J351" s="0" t="n">
        <v>233</v>
      </c>
      <c r="K351" s="0" t="n">
        <v>179</v>
      </c>
      <c r="L351" s="0" t="s">
        <v>57</v>
      </c>
    </row>
    <row r="352" customFormat="false" ht="15" hidden="false" customHeight="false" outlineLevel="0" collapsed="false">
      <c r="A352" s="0" t="n">
        <v>515350</v>
      </c>
      <c r="B352" s="0" t="s">
        <v>514</v>
      </c>
      <c r="C352" s="0" t="s">
        <v>19</v>
      </c>
      <c r="D352" s="0" t="s">
        <v>25</v>
      </c>
      <c r="E352" s="0" t="s">
        <v>55</v>
      </c>
      <c r="F352" s="0" t="s">
        <v>455</v>
      </c>
      <c r="G352" s="0" t="n">
        <v>1</v>
      </c>
      <c r="H352" s="0" t="n">
        <v>201.36</v>
      </c>
      <c r="I352" s="0" t="n">
        <v>201.36</v>
      </c>
      <c r="J352" s="0" t="n">
        <v>114.72</v>
      </c>
      <c r="K352" s="0" t="n">
        <v>86.64</v>
      </c>
      <c r="L352" s="0" t="s">
        <v>97</v>
      </c>
    </row>
    <row r="353" customFormat="false" ht="15" hidden="false" customHeight="false" outlineLevel="0" collapsed="false">
      <c r="A353" s="0" t="n">
        <v>517914</v>
      </c>
      <c r="B353" s="0" t="s">
        <v>428</v>
      </c>
      <c r="C353" s="0" t="s">
        <v>19</v>
      </c>
      <c r="D353" s="0" t="s">
        <v>37</v>
      </c>
      <c r="E353" s="0" t="s">
        <v>55</v>
      </c>
      <c r="F353" s="0" t="s">
        <v>134</v>
      </c>
      <c r="G353" s="0" t="n">
        <v>1</v>
      </c>
      <c r="H353" s="0" t="n">
        <v>78.33</v>
      </c>
      <c r="I353" s="0" t="n">
        <v>78.33</v>
      </c>
      <c r="J353" s="0" t="n">
        <v>43.59</v>
      </c>
      <c r="K353" s="0" t="n">
        <v>34.74</v>
      </c>
      <c r="L353" s="0" t="s">
        <v>79</v>
      </c>
    </row>
    <row r="354" customFormat="false" ht="15" hidden="false" customHeight="false" outlineLevel="0" collapsed="false">
      <c r="A354" s="0" t="n">
        <v>507272</v>
      </c>
      <c r="B354" s="0" t="s">
        <v>515</v>
      </c>
      <c r="C354" s="0" t="s">
        <v>19</v>
      </c>
      <c r="D354" s="0" t="s">
        <v>33</v>
      </c>
      <c r="E354" s="0" t="s">
        <v>29</v>
      </c>
      <c r="F354" s="0" t="s">
        <v>516</v>
      </c>
      <c r="G354" s="0" t="n">
        <v>1</v>
      </c>
      <c r="H354" s="0" t="n">
        <v>600.63</v>
      </c>
      <c r="I354" s="0" t="n">
        <v>600.63</v>
      </c>
      <c r="J354" s="0" t="n">
        <v>346.91</v>
      </c>
      <c r="K354" s="0" t="n">
        <v>253.72</v>
      </c>
      <c r="L354" s="0" t="s">
        <v>154</v>
      </c>
    </row>
    <row r="355" customFormat="false" ht="15" hidden="false" customHeight="false" outlineLevel="0" collapsed="false">
      <c r="A355" s="0" t="n">
        <v>519471</v>
      </c>
      <c r="B355" s="0" t="s">
        <v>517</v>
      </c>
      <c r="C355" s="0" t="s">
        <v>19</v>
      </c>
      <c r="D355" s="0" t="s">
        <v>54</v>
      </c>
      <c r="E355" s="0" t="s">
        <v>47</v>
      </c>
      <c r="F355" s="0" t="s">
        <v>518</v>
      </c>
      <c r="G355" s="0" t="n">
        <v>1</v>
      </c>
      <c r="H355" s="0" t="n">
        <v>138.52</v>
      </c>
      <c r="I355" s="0" t="n">
        <v>138.52</v>
      </c>
      <c r="J355" s="0" t="n">
        <v>79.54</v>
      </c>
      <c r="K355" s="0" t="n">
        <v>58.98</v>
      </c>
      <c r="L355" s="0" t="s">
        <v>198</v>
      </c>
    </row>
    <row r="356" customFormat="false" ht="15" hidden="false" customHeight="false" outlineLevel="0" collapsed="false">
      <c r="A356" s="0" t="n">
        <v>526625</v>
      </c>
      <c r="B356" s="0" t="s">
        <v>507</v>
      </c>
      <c r="C356" s="0" t="s">
        <v>19</v>
      </c>
      <c r="D356" s="0" t="s">
        <v>37</v>
      </c>
      <c r="E356" s="0" t="s">
        <v>50</v>
      </c>
      <c r="F356" s="0" t="s">
        <v>396</v>
      </c>
      <c r="G356" s="0" t="n">
        <v>1</v>
      </c>
      <c r="H356" s="0" t="n">
        <v>154.9</v>
      </c>
      <c r="I356" s="0" t="n">
        <v>154.9</v>
      </c>
      <c r="J356" s="0" t="n">
        <v>87.07</v>
      </c>
      <c r="K356" s="0" t="n">
        <v>67.83</v>
      </c>
      <c r="L356" s="0" t="s">
        <v>88</v>
      </c>
    </row>
    <row r="357" customFormat="false" ht="15" hidden="false" customHeight="false" outlineLevel="0" collapsed="false">
      <c r="A357" s="0" t="n">
        <v>503716</v>
      </c>
      <c r="B357" s="0" t="s">
        <v>519</v>
      </c>
      <c r="C357" s="0" t="s">
        <v>19</v>
      </c>
      <c r="D357" s="0" t="s">
        <v>54</v>
      </c>
      <c r="E357" s="0" t="s">
        <v>55</v>
      </c>
      <c r="F357" s="0" t="s">
        <v>134</v>
      </c>
      <c r="G357" s="0" t="n">
        <v>1</v>
      </c>
      <c r="H357" s="0" t="n">
        <v>85.67</v>
      </c>
      <c r="I357" s="0" t="n">
        <v>85.67</v>
      </c>
      <c r="J357" s="0" t="n">
        <v>48.86</v>
      </c>
      <c r="K357" s="0" t="n">
        <v>36.81</v>
      </c>
      <c r="L357" s="0" t="s">
        <v>262</v>
      </c>
    </row>
    <row r="358" customFormat="false" ht="15" hidden="false" customHeight="false" outlineLevel="0" collapsed="false">
      <c r="A358" s="0" t="n">
        <v>520373</v>
      </c>
      <c r="B358" s="0" t="s">
        <v>520</v>
      </c>
      <c r="C358" s="0" t="s">
        <v>19</v>
      </c>
      <c r="D358" s="0" t="s">
        <v>25</v>
      </c>
      <c r="E358" s="0" t="s">
        <v>59</v>
      </c>
      <c r="F358" s="0" t="s">
        <v>434</v>
      </c>
      <c r="G358" s="0" t="n">
        <v>1</v>
      </c>
      <c r="H358" s="0" t="n">
        <v>157.69</v>
      </c>
      <c r="I358" s="0" t="n">
        <v>157.69</v>
      </c>
      <c r="J358" s="0" t="n">
        <v>94.2</v>
      </c>
      <c r="K358" s="0" t="n">
        <v>63.49</v>
      </c>
      <c r="L358" s="0" t="s">
        <v>23</v>
      </c>
    </row>
    <row r="359" customFormat="false" ht="15" hidden="false" customHeight="false" outlineLevel="0" collapsed="false">
      <c r="A359" s="0" t="n">
        <v>520974</v>
      </c>
      <c r="B359" s="0" t="s">
        <v>521</v>
      </c>
      <c r="C359" s="0" t="s">
        <v>19</v>
      </c>
      <c r="D359" s="0" t="s">
        <v>33</v>
      </c>
      <c r="E359" s="0" t="s">
        <v>50</v>
      </c>
      <c r="F359" s="0" t="s">
        <v>115</v>
      </c>
      <c r="G359" s="0" t="n">
        <v>2</v>
      </c>
      <c r="H359" s="0" t="n">
        <v>83.71</v>
      </c>
      <c r="I359" s="0" t="n">
        <v>167.42</v>
      </c>
      <c r="J359" s="0" t="n">
        <v>92.72</v>
      </c>
      <c r="K359" s="0" t="n">
        <v>74.7</v>
      </c>
      <c r="L359" s="0" t="s">
        <v>23</v>
      </c>
    </row>
    <row r="360" customFormat="false" ht="15" hidden="false" customHeight="false" outlineLevel="0" collapsed="false">
      <c r="A360" s="0" t="n">
        <v>526680</v>
      </c>
      <c r="B360" s="0" t="s">
        <v>522</v>
      </c>
      <c r="C360" s="0" t="s">
        <v>19</v>
      </c>
      <c r="D360" s="0" t="s">
        <v>37</v>
      </c>
      <c r="E360" s="0" t="s">
        <v>21</v>
      </c>
      <c r="F360" s="0" t="s">
        <v>208</v>
      </c>
      <c r="G360" s="0" t="n">
        <v>1</v>
      </c>
      <c r="H360" s="0" t="n">
        <v>667.29</v>
      </c>
      <c r="I360" s="0" t="n">
        <v>667.29</v>
      </c>
      <c r="J360" s="0" t="n">
        <v>369.97</v>
      </c>
      <c r="K360" s="0" t="n">
        <v>297.32</v>
      </c>
      <c r="L360" s="0" t="s">
        <v>88</v>
      </c>
    </row>
    <row r="361" customFormat="false" ht="15" hidden="false" customHeight="false" outlineLevel="0" collapsed="false">
      <c r="A361" s="0" t="n">
        <v>507704</v>
      </c>
      <c r="B361" s="0" t="s">
        <v>317</v>
      </c>
      <c r="C361" s="0" t="s">
        <v>19</v>
      </c>
      <c r="D361" s="0" t="s">
        <v>33</v>
      </c>
      <c r="E361" s="0" t="s">
        <v>21</v>
      </c>
      <c r="F361" s="0" t="s">
        <v>292</v>
      </c>
      <c r="G361" s="0" t="n">
        <v>1</v>
      </c>
      <c r="H361" s="0" t="n">
        <v>125.35</v>
      </c>
      <c r="I361" s="0" t="n">
        <v>125.35</v>
      </c>
      <c r="J361" s="0" t="n">
        <v>70.28</v>
      </c>
      <c r="K361" s="0" t="n">
        <v>55.07</v>
      </c>
      <c r="L361" s="0" t="s">
        <v>39</v>
      </c>
    </row>
    <row r="362" customFormat="false" ht="15" hidden="false" customHeight="false" outlineLevel="0" collapsed="false">
      <c r="A362" s="0" t="n">
        <v>527697</v>
      </c>
      <c r="B362" s="0" t="s">
        <v>523</v>
      </c>
      <c r="C362" s="0" t="s">
        <v>19</v>
      </c>
      <c r="D362" s="0" t="s">
        <v>33</v>
      </c>
      <c r="E362" s="0" t="s">
        <v>21</v>
      </c>
      <c r="F362" s="0" t="s">
        <v>181</v>
      </c>
      <c r="G362" s="0" t="n">
        <v>1</v>
      </c>
      <c r="H362" s="0" t="n">
        <v>414.78</v>
      </c>
      <c r="I362" s="0" t="n">
        <v>414.78</v>
      </c>
      <c r="J362" s="0" t="n">
        <v>228.45</v>
      </c>
      <c r="K362" s="0" t="n">
        <v>186.33</v>
      </c>
      <c r="L362" s="0" t="s">
        <v>52</v>
      </c>
    </row>
    <row r="363" customFormat="false" ht="15" hidden="false" customHeight="false" outlineLevel="0" collapsed="false">
      <c r="A363" s="0" t="n">
        <v>527866</v>
      </c>
      <c r="B363" s="0" t="s">
        <v>264</v>
      </c>
      <c r="C363" s="0" t="s">
        <v>19</v>
      </c>
      <c r="D363" s="0" t="s">
        <v>25</v>
      </c>
      <c r="E363" s="0" t="s">
        <v>50</v>
      </c>
      <c r="F363" s="0" t="s">
        <v>202</v>
      </c>
      <c r="G363" s="0" t="n">
        <v>2</v>
      </c>
      <c r="H363" s="0" t="n">
        <v>263.42</v>
      </c>
      <c r="I363" s="0" t="n">
        <v>526.84</v>
      </c>
      <c r="J363" s="0" t="n">
        <v>311.56</v>
      </c>
      <c r="K363" s="0" t="n">
        <v>215.28</v>
      </c>
      <c r="L363" s="0" t="s">
        <v>52</v>
      </c>
    </row>
    <row r="364" customFormat="false" ht="15" hidden="false" customHeight="false" outlineLevel="0" collapsed="false">
      <c r="A364" s="0" t="n">
        <v>502713</v>
      </c>
      <c r="B364" s="0" t="s">
        <v>524</v>
      </c>
      <c r="C364" s="0" t="s">
        <v>19</v>
      </c>
      <c r="D364" s="0" t="s">
        <v>25</v>
      </c>
      <c r="E364" s="0" t="s">
        <v>21</v>
      </c>
      <c r="F364" s="0" t="s">
        <v>247</v>
      </c>
      <c r="G364" s="0" t="n">
        <v>1</v>
      </c>
      <c r="H364" s="0" t="n">
        <v>251.58</v>
      </c>
      <c r="I364" s="0" t="n">
        <v>251.58</v>
      </c>
      <c r="J364" s="0" t="n">
        <v>147.09</v>
      </c>
      <c r="K364" s="0" t="n">
        <v>104.49</v>
      </c>
      <c r="L364" s="0" t="s">
        <v>102</v>
      </c>
    </row>
    <row r="365" customFormat="false" ht="15" hidden="false" customHeight="false" outlineLevel="0" collapsed="false">
      <c r="A365" s="0" t="n">
        <v>536080</v>
      </c>
      <c r="B365" s="0" t="s">
        <v>525</v>
      </c>
      <c r="C365" s="0" t="s">
        <v>19</v>
      </c>
      <c r="D365" s="0" t="s">
        <v>25</v>
      </c>
      <c r="E365" s="0" t="s">
        <v>59</v>
      </c>
      <c r="F365" s="0" t="s">
        <v>526</v>
      </c>
      <c r="G365" s="0" t="n">
        <v>1</v>
      </c>
      <c r="H365" s="0" t="n">
        <v>226.56</v>
      </c>
      <c r="I365" s="0" t="n">
        <v>226.56</v>
      </c>
      <c r="J365" s="0" t="n">
        <v>135.28</v>
      </c>
      <c r="K365" s="0" t="n">
        <v>91.28</v>
      </c>
      <c r="L365" s="0" t="s">
        <v>64</v>
      </c>
    </row>
    <row r="366" customFormat="false" ht="15" hidden="false" customHeight="false" outlineLevel="0" collapsed="false">
      <c r="A366" s="0" t="n">
        <v>516605</v>
      </c>
      <c r="B366" s="0" t="s">
        <v>527</v>
      </c>
      <c r="C366" s="0" t="s">
        <v>19</v>
      </c>
      <c r="D366" s="0" t="s">
        <v>20</v>
      </c>
      <c r="E366" s="0" t="s">
        <v>21</v>
      </c>
      <c r="F366" s="0" t="s">
        <v>41</v>
      </c>
      <c r="G366" s="0" t="n">
        <v>1</v>
      </c>
      <c r="H366" s="0" t="n">
        <v>154.39</v>
      </c>
      <c r="I366" s="0" t="n">
        <v>154.39</v>
      </c>
      <c r="J366" s="0" t="n">
        <v>88.45</v>
      </c>
      <c r="K366" s="0" t="n">
        <v>65.94</v>
      </c>
      <c r="L366" s="0" t="s">
        <v>31</v>
      </c>
    </row>
    <row r="367" customFormat="false" ht="15" hidden="false" customHeight="false" outlineLevel="0" collapsed="false">
      <c r="A367" s="0" t="n">
        <v>503250</v>
      </c>
      <c r="B367" s="0" t="s">
        <v>528</v>
      </c>
      <c r="C367" s="0" t="s">
        <v>19</v>
      </c>
      <c r="D367" s="0" t="s">
        <v>20</v>
      </c>
      <c r="E367" s="0" t="s">
        <v>55</v>
      </c>
      <c r="F367" s="0" t="s">
        <v>402</v>
      </c>
      <c r="G367" s="0" t="n">
        <v>1</v>
      </c>
      <c r="H367" s="0" t="n">
        <v>192.83</v>
      </c>
      <c r="I367" s="0" t="n">
        <v>192.83</v>
      </c>
      <c r="J367" s="0" t="n">
        <v>112.37</v>
      </c>
      <c r="K367" s="0" t="n">
        <v>80.46</v>
      </c>
      <c r="L367" s="0" t="s">
        <v>262</v>
      </c>
    </row>
    <row r="368" customFormat="false" ht="15" hidden="false" customHeight="false" outlineLevel="0" collapsed="false">
      <c r="A368" s="0" t="n">
        <v>516639</v>
      </c>
      <c r="B368" s="0" t="s">
        <v>529</v>
      </c>
      <c r="C368" s="0" t="s">
        <v>19</v>
      </c>
      <c r="D368" s="0" t="s">
        <v>33</v>
      </c>
      <c r="E368" s="0" t="s">
        <v>55</v>
      </c>
      <c r="F368" s="0" t="s">
        <v>530</v>
      </c>
      <c r="G368" s="0" t="n">
        <v>1</v>
      </c>
      <c r="H368" s="0" t="n">
        <v>159.39</v>
      </c>
      <c r="I368" s="0" t="n">
        <v>159.39</v>
      </c>
      <c r="J368" s="0" t="n">
        <v>88.77</v>
      </c>
      <c r="K368" s="0" t="n">
        <v>70.62</v>
      </c>
      <c r="L368" s="0" t="s">
        <v>31</v>
      </c>
    </row>
    <row r="369" customFormat="false" ht="15" hidden="false" customHeight="false" outlineLevel="0" collapsed="false">
      <c r="A369" s="0" t="n">
        <v>526580</v>
      </c>
      <c r="B369" s="0" t="s">
        <v>531</v>
      </c>
      <c r="C369" s="0" t="s">
        <v>19</v>
      </c>
      <c r="D369" s="0" t="s">
        <v>25</v>
      </c>
      <c r="E369" s="0" t="s">
        <v>50</v>
      </c>
      <c r="F369" s="0" t="s">
        <v>202</v>
      </c>
      <c r="G369" s="0" t="n">
        <v>1</v>
      </c>
      <c r="H369" s="0" t="n">
        <v>269.01</v>
      </c>
      <c r="I369" s="0" t="n">
        <v>269.01</v>
      </c>
      <c r="J369" s="0" t="n">
        <v>155.78</v>
      </c>
      <c r="K369" s="0" t="n">
        <v>113.23</v>
      </c>
      <c r="L369" s="0" t="s">
        <v>88</v>
      </c>
    </row>
    <row r="370" customFormat="false" ht="15" hidden="false" customHeight="false" outlineLevel="0" collapsed="false">
      <c r="A370" s="0" t="n">
        <v>511234</v>
      </c>
      <c r="B370" s="0" t="s">
        <v>532</v>
      </c>
      <c r="C370" s="0" t="s">
        <v>19</v>
      </c>
      <c r="D370" s="0" t="s">
        <v>20</v>
      </c>
      <c r="E370" s="0" t="s">
        <v>59</v>
      </c>
      <c r="F370" s="0" t="s">
        <v>469</v>
      </c>
      <c r="G370" s="0" t="n">
        <v>1</v>
      </c>
      <c r="H370" s="0" t="n">
        <v>171.45</v>
      </c>
      <c r="I370" s="0" t="n">
        <v>171.45</v>
      </c>
      <c r="J370" s="0" t="n">
        <v>101.14</v>
      </c>
      <c r="K370" s="0" t="n">
        <v>70.31</v>
      </c>
      <c r="L370" s="0" t="s">
        <v>73</v>
      </c>
    </row>
    <row r="371" customFormat="false" ht="15" hidden="false" customHeight="false" outlineLevel="0" collapsed="false">
      <c r="A371" s="0" t="n">
        <v>506025</v>
      </c>
      <c r="B371" s="0" t="s">
        <v>146</v>
      </c>
      <c r="C371" s="0" t="s">
        <v>19</v>
      </c>
      <c r="D371" s="0" t="s">
        <v>37</v>
      </c>
      <c r="E371" s="0" t="s">
        <v>50</v>
      </c>
      <c r="F371" s="0" t="s">
        <v>294</v>
      </c>
      <c r="G371" s="0" t="n">
        <v>1</v>
      </c>
      <c r="H371" s="0" t="n">
        <v>290.13</v>
      </c>
      <c r="I371" s="0" t="n">
        <v>290.13</v>
      </c>
      <c r="J371" s="0" t="n">
        <v>171.7</v>
      </c>
      <c r="K371" s="0" t="n">
        <v>118.43</v>
      </c>
      <c r="L371" s="0" t="s">
        <v>148</v>
      </c>
    </row>
    <row r="372" customFormat="false" ht="15" hidden="false" customHeight="false" outlineLevel="0" collapsed="false">
      <c r="A372" s="0" t="n">
        <v>532211</v>
      </c>
      <c r="B372" s="0" t="s">
        <v>533</v>
      </c>
      <c r="C372" s="0" t="s">
        <v>19</v>
      </c>
      <c r="D372" s="0" t="s">
        <v>37</v>
      </c>
      <c r="E372" s="0" t="s">
        <v>55</v>
      </c>
      <c r="F372" s="0" t="s">
        <v>153</v>
      </c>
      <c r="G372" s="0" t="n">
        <v>1</v>
      </c>
      <c r="H372" s="0" t="n">
        <v>59.16</v>
      </c>
      <c r="I372" s="0" t="n">
        <v>59.16</v>
      </c>
      <c r="J372" s="0" t="n">
        <v>32.64</v>
      </c>
      <c r="K372" s="0" t="n">
        <v>26.52</v>
      </c>
      <c r="L372" s="0" t="s">
        <v>45</v>
      </c>
    </row>
    <row r="373" customFormat="false" ht="15" hidden="false" customHeight="false" outlineLevel="0" collapsed="false">
      <c r="A373" s="0" t="n">
        <v>508757</v>
      </c>
      <c r="B373" s="0" t="s">
        <v>534</v>
      </c>
      <c r="C373" s="0" t="s">
        <v>19</v>
      </c>
      <c r="D373" s="0" t="s">
        <v>54</v>
      </c>
      <c r="E373" s="0" t="s">
        <v>59</v>
      </c>
      <c r="F373" s="0" t="s">
        <v>535</v>
      </c>
      <c r="G373" s="0" t="n">
        <v>1</v>
      </c>
      <c r="H373" s="0" t="n">
        <v>170.15</v>
      </c>
      <c r="I373" s="0" t="n">
        <v>170.15</v>
      </c>
      <c r="J373" s="0" t="n">
        <v>100.88</v>
      </c>
      <c r="K373" s="0" t="n">
        <v>69.27</v>
      </c>
      <c r="L373" s="0" t="s">
        <v>39</v>
      </c>
    </row>
    <row r="374" customFormat="false" ht="15" hidden="false" customHeight="false" outlineLevel="0" collapsed="false">
      <c r="A374" s="0" t="n">
        <v>504905</v>
      </c>
      <c r="B374" s="0" t="s">
        <v>536</v>
      </c>
      <c r="C374" s="0" t="s">
        <v>19</v>
      </c>
      <c r="D374" s="0" t="s">
        <v>54</v>
      </c>
      <c r="E374" s="0" t="s">
        <v>21</v>
      </c>
      <c r="F374" s="0" t="s">
        <v>170</v>
      </c>
      <c r="G374" s="0" t="n">
        <v>2</v>
      </c>
      <c r="H374" s="0" t="n">
        <v>912.46</v>
      </c>
      <c r="I374" s="0" t="n">
        <v>1824.92</v>
      </c>
      <c r="J374" s="0" t="n">
        <v>1037.34</v>
      </c>
      <c r="K374" s="0" t="n">
        <v>787.58</v>
      </c>
      <c r="L374" s="0" t="s">
        <v>252</v>
      </c>
    </row>
    <row r="375" customFormat="false" ht="15" hidden="false" customHeight="false" outlineLevel="0" collapsed="false">
      <c r="A375" s="0" t="n">
        <v>524796</v>
      </c>
      <c r="B375" s="0" t="s">
        <v>537</v>
      </c>
      <c r="C375" s="0" t="s">
        <v>19</v>
      </c>
      <c r="D375" s="0" t="s">
        <v>20</v>
      </c>
      <c r="E375" s="0" t="s">
        <v>21</v>
      </c>
      <c r="F375" s="0" t="s">
        <v>360</v>
      </c>
      <c r="G375" s="0" t="n">
        <v>1</v>
      </c>
      <c r="H375" s="0" t="n">
        <v>423.33</v>
      </c>
      <c r="I375" s="0" t="n">
        <v>423.33</v>
      </c>
      <c r="J375" s="0" t="n">
        <v>238.29</v>
      </c>
      <c r="K375" s="0" t="n">
        <v>185.04</v>
      </c>
      <c r="L375" s="0" t="s">
        <v>127</v>
      </c>
    </row>
    <row r="376" customFormat="false" ht="15" hidden="false" customHeight="false" outlineLevel="0" collapsed="false">
      <c r="A376" s="0" t="n">
        <v>532039</v>
      </c>
      <c r="B376" s="0" t="s">
        <v>538</v>
      </c>
      <c r="C376" s="0" t="s">
        <v>19</v>
      </c>
      <c r="D376" s="0" t="s">
        <v>20</v>
      </c>
      <c r="E376" s="0" t="s">
        <v>50</v>
      </c>
      <c r="F376" s="0" t="s">
        <v>250</v>
      </c>
      <c r="G376" s="0" t="n">
        <v>1</v>
      </c>
      <c r="H376" s="0" t="n">
        <v>166.01</v>
      </c>
      <c r="I376" s="0" t="n">
        <v>166.01</v>
      </c>
      <c r="J376" s="0" t="n">
        <v>96.7</v>
      </c>
      <c r="K376" s="0" t="n">
        <v>69.31</v>
      </c>
      <c r="L376" s="0" t="s">
        <v>45</v>
      </c>
    </row>
    <row r="377" customFormat="false" ht="15" hidden="false" customHeight="false" outlineLevel="0" collapsed="false">
      <c r="A377" s="0" t="n">
        <v>527732</v>
      </c>
      <c r="B377" s="0" t="s">
        <v>539</v>
      </c>
      <c r="C377" s="0" t="s">
        <v>19</v>
      </c>
      <c r="D377" s="0" t="s">
        <v>37</v>
      </c>
      <c r="E377" s="0" t="s">
        <v>59</v>
      </c>
      <c r="F377" s="0" t="s">
        <v>187</v>
      </c>
      <c r="G377" s="0" t="n">
        <v>2</v>
      </c>
      <c r="H377" s="0" t="n">
        <v>237.66</v>
      </c>
      <c r="I377" s="0" t="n">
        <v>475.32</v>
      </c>
      <c r="J377" s="0" t="n">
        <v>266.5</v>
      </c>
      <c r="K377" s="0" t="n">
        <v>208.82</v>
      </c>
      <c r="L377" s="0" t="s">
        <v>52</v>
      </c>
    </row>
    <row r="378" customFormat="false" ht="15" hidden="false" customHeight="false" outlineLevel="0" collapsed="false">
      <c r="A378" s="0" t="n">
        <v>516174</v>
      </c>
      <c r="B378" s="0" t="s">
        <v>540</v>
      </c>
      <c r="C378" s="0" t="s">
        <v>19</v>
      </c>
      <c r="D378" s="0" t="s">
        <v>37</v>
      </c>
      <c r="E378" s="0" t="s">
        <v>21</v>
      </c>
      <c r="F378" s="0" t="s">
        <v>305</v>
      </c>
      <c r="G378" s="0" t="n">
        <v>1</v>
      </c>
      <c r="H378" s="0" t="n">
        <v>291.87</v>
      </c>
      <c r="I378" s="0" t="n">
        <v>291.87</v>
      </c>
      <c r="J378" s="0" t="n">
        <v>173.18</v>
      </c>
      <c r="K378" s="0" t="n">
        <v>118.69</v>
      </c>
      <c r="L378" s="0" t="s">
        <v>132</v>
      </c>
    </row>
    <row r="379" customFormat="false" ht="15" hidden="false" customHeight="false" outlineLevel="0" collapsed="false">
      <c r="A379" s="0" t="n">
        <v>510354</v>
      </c>
      <c r="B379" s="0" t="s">
        <v>490</v>
      </c>
      <c r="C379" s="0" t="s">
        <v>19</v>
      </c>
      <c r="D379" s="0" t="s">
        <v>20</v>
      </c>
      <c r="E379" s="0" t="s">
        <v>59</v>
      </c>
      <c r="F379" s="0" t="s">
        <v>381</v>
      </c>
      <c r="G379" s="0" t="n">
        <v>2</v>
      </c>
      <c r="H379" s="0" t="n">
        <v>111.67</v>
      </c>
      <c r="I379" s="0" t="n">
        <v>223.34</v>
      </c>
      <c r="J379" s="0" t="n">
        <v>127.88</v>
      </c>
      <c r="K379" s="0" t="n">
        <v>95.46</v>
      </c>
      <c r="L379" s="0" t="s">
        <v>130</v>
      </c>
    </row>
    <row r="380" customFormat="false" ht="15" hidden="false" customHeight="false" outlineLevel="0" collapsed="false">
      <c r="A380" s="0" t="n">
        <v>513770</v>
      </c>
      <c r="B380" s="0" t="s">
        <v>541</v>
      </c>
      <c r="C380" s="0" t="s">
        <v>19</v>
      </c>
      <c r="D380" s="0" t="s">
        <v>25</v>
      </c>
      <c r="E380" s="0" t="s">
        <v>55</v>
      </c>
      <c r="F380" s="0" t="s">
        <v>321</v>
      </c>
      <c r="G380" s="0" t="n">
        <v>2</v>
      </c>
      <c r="H380" s="0" t="n">
        <v>27.28</v>
      </c>
      <c r="I380" s="0" t="n">
        <v>54.56</v>
      </c>
      <c r="J380" s="0" t="n">
        <v>31.66</v>
      </c>
      <c r="K380" s="0" t="n">
        <v>22.9</v>
      </c>
      <c r="L380" s="0" t="s">
        <v>35</v>
      </c>
    </row>
    <row r="381" customFormat="false" ht="15" hidden="false" customHeight="false" outlineLevel="0" collapsed="false">
      <c r="A381" s="0" t="n">
        <v>511387</v>
      </c>
      <c r="B381" s="0" t="s">
        <v>542</v>
      </c>
      <c r="C381" s="0" t="s">
        <v>19</v>
      </c>
      <c r="D381" s="0" t="s">
        <v>20</v>
      </c>
      <c r="E381" s="0" t="s">
        <v>55</v>
      </c>
      <c r="F381" s="0" t="s">
        <v>164</v>
      </c>
      <c r="G381" s="0" t="n">
        <v>1</v>
      </c>
      <c r="H381" s="0" t="n">
        <v>128.46</v>
      </c>
      <c r="I381" s="0" t="n">
        <v>128.46</v>
      </c>
      <c r="J381" s="0" t="n">
        <v>73.36</v>
      </c>
      <c r="K381" s="0" t="n">
        <v>55.1</v>
      </c>
      <c r="L381" s="0" t="s">
        <v>73</v>
      </c>
    </row>
    <row r="382" customFormat="false" ht="15" hidden="false" customHeight="false" outlineLevel="0" collapsed="false">
      <c r="A382" s="0" t="n">
        <v>527228</v>
      </c>
      <c r="B382" s="0" t="s">
        <v>271</v>
      </c>
      <c r="C382" s="0" t="s">
        <v>19</v>
      </c>
      <c r="D382" s="0" t="s">
        <v>20</v>
      </c>
      <c r="E382" s="0" t="s">
        <v>29</v>
      </c>
      <c r="F382" s="0" t="s">
        <v>543</v>
      </c>
      <c r="G382" s="0" t="n">
        <v>1</v>
      </c>
      <c r="H382" s="0" t="n">
        <v>730.45</v>
      </c>
      <c r="I382" s="0" t="n">
        <v>730.45</v>
      </c>
      <c r="J382" s="0" t="n">
        <v>414.11</v>
      </c>
      <c r="K382" s="0" t="n">
        <v>316.34</v>
      </c>
      <c r="L382" s="0" t="s">
        <v>88</v>
      </c>
    </row>
    <row r="383" customFormat="false" ht="15" hidden="false" customHeight="false" outlineLevel="0" collapsed="false">
      <c r="A383" s="0" t="n">
        <v>501299</v>
      </c>
      <c r="B383" s="0" t="s">
        <v>544</v>
      </c>
      <c r="C383" s="0" t="s">
        <v>19</v>
      </c>
      <c r="D383" s="0" t="s">
        <v>54</v>
      </c>
      <c r="E383" s="0" t="s">
        <v>29</v>
      </c>
      <c r="F383" s="0" t="s">
        <v>545</v>
      </c>
      <c r="G383" s="0" t="n">
        <v>2</v>
      </c>
      <c r="H383" s="0" t="n">
        <v>800.37</v>
      </c>
      <c r="I383" s="0" t="n">
        <v>1600.74</v>
      </c>
      <c r="J383" s="0" t="n">
        <v>916.46</v>
      </c>
      <c r="K383" s="0" t="n">
        <v>684.28</v>
      </c>
      <c r="L383" s="0" t="s">
        <v>277</v>
      </c>
    </row>
    <row r="384" customFormat="false" ht="15" hidden="false" customHeight="false" outlineLevel="0" collapsed="false">
      <c r="A384" s="0" t="n">
        <v>524652</v>
      </c>
      <c r="B384" s="0" t="s">
        <v>546</v>
      </c>
      <c r="C384" s="0" t="s">
        <v>19</v>
      </c>
      <c r="D384" s="0" t="s">
        <v>25</v>
      </c>
      <c r="E384" s="0" t="s">
        <v>21</v>
      </c>
      <c r="F384" s="0" t="s">
        <v>254</v>
      </c>
      <c r="G384" s="0" t="n">
        <v>1</v>
      </c>
      <c r="H384" s="0" t="n">
        <v>472.27</v>
      </c>
      <c r="I384" s="0" t="n">
        <v>472.27</v>
      </c>
      <c r="J384" s="0" t="n">
        <v>260.19</v>
      </c>
      <c r="K384" s="0" t="n">
        <v>212.08</v>
      </c>
      <c r="L384" s="0" t="s">
        <v>107</v>
      </c>
    </row>
    <row r="385" customFormat="false" ht="15" hidden="false" customHeight="false" outlineLevel="0" collapsed="false">
      <c r="A385" s="0" t="n">
        <v>520612</v>
      </c>
      <c r="B385" s="0" t="s">
        <v>547</v>
      </c>
      <c r="C385" s="0" t="s">
        <v>19</v>
      </c>
      <c r="D385" s="0" t="s">
        <v>25</v>
      </c>
      <c r="E385" s="0" t="s">
        <v>55</v>
      </c>
      <c r="F385" s="0" t="s">
        <v>136</v>
      </c>
      <c r="G385" s="0" t="n">
        <v>3</v>
      </c>
      <c r="H385" s="0" t="n">
        <v>111.54</v>
      </c>
      <c r="I385" s="0" t="n">
        <v>334.62</v>
      </c>
      <c r="J385" s="0" t="n">
        <v>198.33</v>
      </c>
      <c r="K385" s="0" t="n">
        <v>136.29</v>
      </c>
      <c r="L385" s="0" t="s">
        <v>23</v>
      </c>
    </row>
    <row r="386" customFormat="false" ht="15" hidden="false" customHeight="false" outlineLevel="0" collapsed="false">
      <c r="A386" s="0" t="n">
        <v>536786</v>
      </c>
      <c r="B386" s="0" t="s">
        <v>398</v>
      </c>
      <c r="C386" s="0" t="s">
        <v>19</v>
      </c>
      <c r="D386" s="0" t="s">
        <v>54</v>
      </c>
      <c r="E386" s="0" t="s">
        <v>50</v>
      </c>
      <c r="F386" s="0" t="s">
        <v>194</v>
      </c>
      <c r="G386" s="0" t="n">
        <v>2</v>
      </c>
      <c r="H386" s="0" t="n">
        <v>264.24</v>
      </c>
      <c r="I386" s="0" t="n">
        <v>528.48</v>
      </c>
      <c r="J386" s="0" t="n">
        <v>298.74</v>
      </c>
      <c r="K386" s="0" t="n">
        <v>229.74</v>
      </c>
      <c r="L386" s="0" t="s">
        <v>64</v>
      </c>
    </row>
    <row r="387" customFormat="false" ht="15" hidden="false" customHeight="false" outlineLevel="0" collapsed="false">
      <c r="A387" s="0" t="n">
        <v>506655</v>
      </c>
      <c r="B387" s="0" t="s">
        <v>440</v>
      </c>
      <c r="C387" s="0" t="s">
        <v>19</v>
      </c>
      <c r="D387" s="0" t="s">
        <v>20</v>
      </c>
      <c r="E387" s="0" t="s">
        <v>47</v>
      </c>
      <c r="F387" s="0" t="s">
        <v>140</v>
      </c>
      <c r="G387" s="0" t="n">
        <v>2</v>
      </c>
      <c r="H387" s="0" t="n">
        <v>469.77</v>
      </c>
      <c r="I387" s="0" t="n">
        <v>939.54</v>
      </c>
      <c r="J387" s="0" t="n">
        <v>559.24</v>
      </c>
      <c r="K387" s="0" t="n">
        <v>380.3</v>
      </c>
      <c r="L387" s="0" t="s">
        <v>154</v>
      </c>
    </row>
    <row r="388" customFormat="false" ht="15" hidden="false" customHeight="false" outlineLevel="0" collapsed="false">
      <c r="A388" s="0" t="n">
        <v>510829</v>
      </c>
      <c r="B388" s="0" t="s">
        <v>548</v>
      </c>
      <c r="C388" s="0" t="s">
        <v>19</v>
      </c>
      <c r="D388" s="0" t="s">
        <v>25</v>
      </c>
      <c r="E388" s="0" t="s">
        <v>55</v>
      </c>
      <c r="F388" s="0" t="s">
        <v>136</v>
      </c>
      <c r="G388" s="0" t="n">
        <v>1</v>
      </c>
      <c r="H388" s="0" t="n">
        <v>118.55</v>
      </c>
      <c r="I388" s="0" t="n">
        <v>118.55</v>
      </c>
      <c r="J388" s="0" t="n">
        <v>66.11</v>
      </c>
      <c r="K388" s="0" t="n">
        <v>52.44</v>
      </c>
      <c r="L388" s="0" t="s">
        <v>130</v>
      </c>
    </row>
    <row r="389" customFormat="false" ht="15" hidden="false" customHeight="false" outlineLevel="0" collapsed="false">
      <c r="A389" s="0" t="n">
        <v>537112</v>
      </c>
      <c r="B389" s="0" t="s">
        <v>549</v>
      </c>
      <c r="C389" s="0" t="s">
        <v>19</v>
      </c>
      <c r="D389" s="0" t="s">
        <v>37</v>
      </c>
      <c r="E389" s="0" t="s">
        <v>55</v>
      </c>
      <c r="F389" s="0" t="s">
        <v>63</v>
      </c>
      <c r="G389" s="0" t="n">
        <v>1</v>
      </c>
      <c r="H389" s="0" t="n">
        <v>178.2</v>
      </c>
      <c r="I389" s="0" t="n">
        <v>178.2</v>
      </c>
      <c r="J389" s="0" t="n">
        <v>104.87</v>
      </c>
      <c r="K389" s="0" t="n">
        <v>73.33</v>
      </c>
      <c r="L389" s="0" t="s">
        <v>64</v>
      </c>
    </row>
    <row r="390" customFormat="false" ht="15" hidden="false" customHeight="false" outlineLevel="0" collapsed="false">
      <c r="A390" s="0" t="n">
        <v>507647</v>
      </c>
      <c r="B390" s="0" t="s">
        <v>550</v>
      </c>
      <c r="C390" s="0" t="s">
        <v>19</v>
      </c>
      <c r="D390" s="0" t="s">
        <v>20</v>
      </c>
      <c r="E390" s="0" t="s">
        <v>29</v>
      </c>
      <c r="F390" s="0" t="s">
        <v>516</v>
      </c>
      <c r="G390" s="0" t="n">
        <v>3</v>
      </c>
      <c r="H390" s="0" t="n">
        <v>589.59</v>
      </c>
      <c r="I390" s="0" t="n">
        <v>1768.77</v>
      </c>
      <c r="J390" s="0" t="n">
        <v>1040.73</v>
      </c>
      <c r="K390" s="0" t="n">
        <v>728.04</v>
      </c>
      <c r="L390" s="0" t="s">
        <v>39</v>
      </c>
    </row>
    <row r="391" customFormat="false" ht="15" hidden="false" customHeight="false" outlineLevel="0" collapsed="false">
      <c r="A391" s="0" t="n">
        <v>511162</v>
      </c>
      <c r="B391" s="0" t="s">
        <v>551</v>
      </c>
      <c r="C391" s="0" t="s">
        <v>19</v>
      </c>
      <c r="D391" s="0" t="s">
        <v>25</v>
      </c>
      <c r="E391" s="0" t="s">
        <v>59</v>
      </c>
      <c r="F391" s="0" t="s">
        <v>60</v>
      </c>
      <c r="G391" s="0" t="n">
        <v>1</v>
      </c>
      <c r="H391" s="0" t="n">
        <v>222.2</v>
      </c>
      <c r="I391" s="0" t="n">
        <v>222.2</v>
      </c>
      <c r="J391" s="0" t="n">
        <v>123.83</v>
      </c>
      <c r="K391" s="0" t="n">
        <v>98.37</v>
      </c>
      <c r="L391" s="0" t="s">
        <v>130</v>
      </c>
    </row>
    <row r="392" customFormat="false" ht="15" hidden="false" customHeight="false" outlineLevel="0" collapsed="false">
      <c r="A392" s="0" t="n">
        <v>513482</v>
      </c>
      <c r="B392" s="0" t="s">
        <v>552</v>
      </c>
      <c r="C392" s="0" t="s">
        <v>19</v>
      </c>
      <c r="D392" s="0" t="s">
        <v>37</v>
      </c>
      <c r="E392" s="0" t="s">
        <v>50</v>
      </c>
      <c r="F392" s="0" t="s">
        <v>194</v>
      </c>
      <c r="G392" s="0" t="n">
        <v>4</v>
      </c>
      <c r="H392" s="0" t="n">
        <v>325.48</v>
      </c>
      <c r="I392" s="0" t="n">
        <v>1301.92</v>
      </c>
      <c r="J392" s="0" t="n">
        <v>750.84</v>
      </c>
      <c r="K392" s="0" t="n">
        <v>551.08</v>
      </c>
      <c r="L392" s="0" t="s">
        <v>190</v>
      </c>
    </row>
    <row r="393" customFormat="false" ht="15" hidden="false" customHeight="false" outlineLevel="0" collapsed="false">
      <c r="A393" s="0" t="n">
        <v>531864</v>
      </c>
      <c r="B393" s="0" t="s">
        <v>553</v>
      </c>
      <c r="C393" s="0" t="s">
        <v>19</v>
      </c>
      <c r="D393" s="0" t="s">
        <v>25</v>
      </c>
      <c r="E393" s="0" t="s">
        <v>21</v>
      </c>
      <c r="F393" s="0" t="s">
        <v>26</v>
      </c>
      <c r="G393" s="0" t="n">
        <v>1</v>
      </c>
      <c r="H393" s="0" t="n">
        <v>1289.44</v>
      </c>
      <c r="I393" s="0" t="n">
        <v>1289.44</v>
      </c>
      <c r="J393" s="0" t="n">
        <v>720.81</v>
      </c>
      <c r="K393" s="0" t="n">
        <v>568.63</v>
      </c>
      <c r="L393" s="0" t="s">
        <v>45</v>
      </c>
    </row>
    <row r="394" customFormat="false" ht="15" hidden="false" customHeight="false" outlineLevel="0" collapsed="false">
      <c r="A394" s="0" t="n">
        <v>533762</v>
      </c>
      <c r="B394" s="0" t="s">
        <v>554</v>
      </c>
      <c r="C394" s="0" t="s">
        <v>19</v>
      </c>
      <c r="D394" s="0" t="s">
        <v>20</v>
      </c>
      <c r="E394" s="0" t="s">
        <v>50</v>
      </c>
      <c r="F394" s="0" t="s">
        <v>172</v>
      </c>
      <c r="G394" s="0" t="n">
        <v>1</v>
      </c>
      <c r="H394" s="0" t="n">
        <v>260.05</v>
      </c>
      <c r="I394" s="0" t="n">
        <v>260.05</v>
      </c>
      <c r="J394" s="0" t="n">
        <v>150.86</v>
      </c>
      <c r="K394" s="0" t="n">
        <v>109.19</v>
      </c>
      <c r="L394" s="0" t="s">
        <v>70</v>
      </c>
    </row>
    <row r="395" customFormat="false" ht="15" hidden="false" customHeight="false" outlineLevel="0" collapsed="false">
      <c r="A395" s="0" t="n">
        <v>520488</v>
      </c>
      <c r="B395" s="0" t="s">
        <v>555</v>
      </c>
      <c r="C395" s="0" t="s">
        <v>19</v>
      </c>
      <c r="D395" s="0" t="s">
        <v>20</v>
      </c>
      <c r="E395" s="0" t="s">
        <v>21</v>
      </c>
      <c r="F395" s="0" t="s">
        <v>360</v>
      </c>
      <c r="G395" s="0" t="n">
        <v>1</v>
      </c>
      <c r="H395" s="0" t="n">
        <v>430.75</v>
      </c>
      <c r="I395" s="0" t="n">
        <v>430.75</v>
      </c>
      <c r="J395" s="0" t="n">
        <v>238.29</v>
      </c>
      <c r="K395" s="0" t="n">
        <v>192.46</v>
      </c>
      <c r="L395" s="0" t="s">
        <v>23</v>
      </c>
    </row>
    <row r="396" customFormat="false" ht="15" hidden="false" customHeight="false" outlineLevel="0" collapsed="false">
      <c r="A396" s="0" t="n">
        <v>511465</v>
      </c>
      <c r="B396" s="0" t="s">
        <v>71</v>
      </c>
      <c r="C396" s="0" t="s">
        <v>19</v>
      </c>
      <c r="D396" s="0" t="s">
        <v>25</v>
      </c>
      <c r="E396" s="0" t="s">
        <v>47</v>
      </c>
      <c r="F396" s="0" t="s">
        <v>508</v>
      </c>
      <c r="G396" s="0" t="n">
        <v>1</v>
      </c>
      <c r="H396" s="0" t="n">
        <v>290.24</v>
      </c>
      <c r="I396" s="0" t="n">
        <v>290.24</v>
      </c>
      <c r="J396" s="0" t="n">
        <v>164.63</v>
      </c>
      <c r="K396" s="0" t="n">
        <v>125.61</v>
      </c>
      <c r="L396" s="0" t="s">
        <v>73</v>
      </c>
    </row>
    <row r="397" customFormat="false" ht="15" hidden="false" customHeight="false" outlineLevel="0" collapsed="false">
      <c r="A397" s="0" t="n">
        <v>503774</v>
      </c>
      <c r="B397" s="0" t="s">
        <v>556</v>
      </c>
      <c r="C397" s="0" t="s">
        <v>19</v>
      </c>
      <c r="D397" s="0" t="s">
        <v>37</v>
      </c>
      <c r="E397" s="0" t="s">
        <v>59</v>
      </c>
      <c r="F397" s="0" t="s">
        <v>279</v>
      </c>
      <c r="G397" s="0" t="n">
        <v>2</v>
      </c>
      <c r="H397" s="0" t="n">
        <v>114.05</v>
      </c>
      <c r="I397" s="0" t="n">
        <v>228.1</v>
      </c>
      <c r="J397" s="0" t="n">
        <v>131.08</v>
      </c>
      <c r="K397" s="0" t="n">
        <v>97.02</v>
      </c>
      <c r="L397" s="0" t="s">
        <v>262</v>
      </c>
    </row>
    <row r="398" customFormat="false" ht="15" hidden="false" customHeight="false" outlineLevel="0" collapsed="false">
      <c r="A398" s="0" t="n">
        <v>530325</v>
      </c>
      <c r="B398" s="0" t="s">
        <v>557</v>
      </c>
      <c r="C398" s="0" t="s">
        <v>19</v>
      </c>
      <c r="D398" s="0" t="s">
        <v>25</v>
      </c>
      <c r="E398" s="0" t="s">
        <v>21</v>
      </c>
      <c r="F398" s="0" t="s">
        <v>305</v>
      </c>
      <c r="G398" s="0" t="n">
        <v>1</v>
      </c>
      <c r="H398" s="0" t="n">
        <v>306.09</v>
      </c>
      <c r="I398" s="0" t="n">
        <v>306.09</v>
      </c>
      <c r="J398" s="0" t="n">
        <v>173.18</v>
      </c>
      <c r="K398" s="0" t="n">
        <v>132.91</v>
      </c>
      <c r="L398" s="0" t="s">
        <v>57</v>
      </c>
    </row>
    <row r="399" customFormat="false" ht="15" hidden="false" customHeight="false" outlineLevel="0" collapsed="false">
      <c r="A399" s="0" t="n">
        <v>535755</v>
      </c>
      <c r="B399" s="0" t="s">
        <v>308</v>
      </c>
      <c r="C399" s="0" t="s">
        <v>19</v>
      </c>
      <c r="D399" s="0" t="s">
        <v>54</v>
      </c>
      <c r="E399" s="0" t="s">
        <v>59</v>
      </c>
      <c r="F399" s="0" t="s">
        <v>414</v>
      </c>
      <c r="G399" s="0" t="n">
        <v>1</v>
      </c>
      <c r="H399" s="0" t="n">
        <v>127.33</v>
      </c>
      <c r="I399" s="0" t="n">
        <v>127.33</v>
      </c>
      <c r="J399" s="0" t="n">
        <v>74.51</v>
      </c>
      <c r="K399" s="0" t="n">
        <v>52.82</v>
      </c>
      <c r="L399" s="0" t="s">
        <v>64</v>
      </c>
    </row>
    <row r="400" customFormat="false" ht="15" hidden="false" customHeight="false" outlineLevel="0" collapsed="false">
      <c r="A400" s="0" t="n">
        <v>506263</v>
      </c>
      <c r="B400" s="0" t="s">
        <v>558</v>
      </c>
      <c r="C400" s="0" t="s">
        <v>19</v>
      </c>
      <c r="D400" s="0" t="s">
        <v>33</v>
      </c>
      <c r="E400" s="0" t="s">
        <v>21</v>
      </c>
      <c r="F400" s="0" t="s">
        <v>374</v>
      </c>
      <c r="G400" s="0" t="n">
        <v>1</v>
      </c>
      <c r="H400" s="0" t="n">
        <v>1247.97</v>
      </c>
      <c r="I400" s="0" t="n">
        <v>1247.97</v>
      </c>
      <c r="J400" s="0" t="n">
        <v>721.88</v>
      </c>
      <c r="K400" s="0" t="n">
        <v>526.09</v>
      </c>
      <c r="L400" s="0" t="s">
        <v>148</v>
      </c>
    </row>
    <row r="401" customFormat="false" ht="15" hidden="false" customHeight="false" outlineLevel="0" collapsed="false">
      <c r="A401" s="0" t="n">
        <v>519587</v>
      </c>
      <c r="B401" s="0" t="s">
        <v>559</v>
      </c>
      <c r="C401" s="0" t="s">
        <v>19</v>
      </c>
      <c r="D401" s="0" t="s">
        <v>25</v>
      </c>
      <c r="E401" s="0" t="s">
        <v>21</v>
      </c>
      <c r="F401" s="0" t="s">
        <v>247</v>
      </c>
      <c r="G401" s="0" t="n">
        <v>2</v>
      </c>
      <c r="H401" s="0" t="n">
        <v>251.76</v>
      </c>
      <c r="I401" s="0" t="n">
        <v>503.52</v>
      </c>
      <c r="J401" s="0" t="n">
        <v>294.18</v>
      </c>
      <c r="K401" s="0" t="n">
        <v>209.34</v>
      </c>
      <c r="L401" s="0" t="s">
        <v>198</v>
      </c>
    </row>
    <row r="402" customFormat="false" ht="15" hidden="false" customHeight="false" outlineLevel="0" collapsed="false">
      <c r="A402" s="0" t="n">
        <v>503644</v>
      </c>
      <c r="B402" s="0" t="s">
        <v>560</v>
      </c>
      <c r="C402" s="0" t="s">
        <v>19</v>
      </c>
      <c r="D402" s="0" t="s">
        <v>37</v>
      </c>
      <c r="E402" s="0" t="s">
        <v>21</v>
      </c>
      <c r="F402" s="0" t="s">
        <v>41</v>
      </c>
      <c r="G402" s="0" t="n">
        <v>1</v>
      </c>
      <c r="H402" s="0" t="n">
        <v>153.44</v>
      </c>
      <c r="I402" s="0" t="n">
        <v>153.44</v>
      </c>
      <c r="J402" s="0" t="n">
        <v>88.45</v>
      </c>
      <c r="K402" s="0" t="n">
        <v>64.99</v>
      </c>
      <c r="L402" s="0" t="s">
        <v>262</v>
      </c>
    </row>
    <row r="403" customFormat="false" ht="15" hidden="false" customHeight="false" outlineLevel="0" collapsed="false">
      <c r="A403" s="0" t="n">
        <v>506741</v>
      </c>
      <c r="B403" s="0" t="s">
        <v>152</v>
      </c>
      <c r="C403" s="0" t="s">
        <v>19</v>
      </c>
      <c r="D403" s="0" t="s">
        <v>37</v>
      </c>
      <c r="E403" s="0" t="s">
        <v>59</v>
      </c>
      <c r="F403" s="0" t="s">
        <v>263</v>
      </c>
      <c r="G403" s="0" t="n">
        <v>1</v>
      </c>
      <c r="H403" s="0" t="n">
        <v>21.66</v>
      </c>
      <c r="I403" s="0" t="n">
        <v>21.66</v>
      </c>
      <c r="J403" s="0" t="n">
        <v>12.14</v>
      </c>
      <c r="K403" s="0" t="n">
        <v>9.52</v>
      </c>
      <c r="L403" s="0" t="s">
        <v>154</v>
      </c>
    </row>
    <row r="404" customFormat="false" ht="15" hidden="false" customHeight="false" outlineLevel="0" collapsed="false">
      <c r="A404" s="0" t="n">
        <v>535497</v>
      </c>
      <c r="B404" s="0" t="s">
        <v>561</v>
      </c>
      <c r="C404" s="0" t="s">
        <v>19</v>
      </c>
      <c r="D404" s="0" t="s">
        <v>25</v>
      </c>
      <c r="E404" s="0" t="s">
        <v>55</v>
      </c>
      <c r="F404" s="0" t="s">
        <v>383</v>
      </c>
      <c r="G404" s="0" t="n">
        <v>2</v>
      </c>
      <c r="H404" s="0" t="n">
        <v>66.44</v>
      </c>
      <c r="I404" s="0" t="n">
        <v>132.88</v>
      </c>
      <c r="J404" s="0" t="n">
        <v>73.92</v>
      </c>
      <c r="K404" s="0" t="n">
        <v>58.96</v>
      </c>
      <c r="L404" s="0" t="s">
        <v>64</v>
      </c>
    </row>
    <row r="405" customFormat="false" ht="15" hidden="false" customHeight="false" outlineLevel="0" collapsed="false">
      <c r="A405" s="0" t="n">
        <v>513071</v>
      </c>
      <c r="B405" s="0" t="s">
        <v>299</v>
      </c>
      <c r="C405" s="0" t="s">
        <v>19</v>
      </c>
      <c r="D405" s="0" t="s">
        <v>20</v>
      </c>
      <c r="E405" s="0" t="s">
        <v>50</v>
      </c>
      <c r="F405" s="0" t="s">
        <v>396</v>
      </c>
      <c r="G405" s="0" t="n">
        <v>1</v>
      </c>
      <c r="H405" s="0" t="n">
        <v>156.47</v>
      </c>
      <c r="I405" s="0" t="n">
        <v>156.47</v>
      </c>
      <c r="J405" s="0" t="n">
        <v>87.07</v>
      </c>
      <c r="K405" s="0" t="n">
        <v>69.4</v>
      </c>
      <c r="L405" s="0" t="s">
        <v>190</v>
      </c>
    </row>
    <row r="406" customFormat="false" ht="15" hidden="false" customHeight="false" outlineLevel="0" collapsed="false">
      <c r="A406" s="0" t="n">
        <v>535741</v>
      </c>
      <c r="B406" s="0" t="s">
        <v>308</v>
      </c>
      <c r="C406" s="0" t="s">
        <v>19</v>
      </c>
      <c r="D406" s="0" t="s">
        <v>25</v>
      </c>
      <c r="E406" s="0" t="s">
        <v>50</v>
      </c>
      <c r="F406" s="0" t="s">
        <v>301</v>
      </c>
      <c r="G406" s="0" t="n">
        <v>2</v>
      </c>
      <c r="H406" s="0" t="n">
        <v>104.05</v>
      </c>
      <c r="I406" s="0" t="n">
        <v>208.1</v>
      </c>
      <c r="J406" s="0" t="n">
        <v>122.06</v>
      </c>
      <c r="K406" s="0" t="n">
        <v>86.04</v>
      </c>
      <c r="L406" s="0" t="s">
        <v>64</v>
      </c>
    </row>
    <row r="407" customFormat="false" ht="15" hidden="false" customHeight="false" outlineLevel="0" collapsed="false">
      <c r="A407" s="0" t="n">
        <v>525626</v>
      </c>
      <c r="B407" s="0" t="s">
        <v>274</v>
      </c>
      <c r="C407" s="0" t="s">
        <v>19</v>
      </c>
      <c r="D407" s="0" t="s">
        <v>33</v>
      </c>
      <c r="E407" s="0" t="s">
        <v>47</v>
      </c>
      <c r="F407" s="0" t="s">
        <v>233</v>
      </c>
      <c r="G407" s="0" t="n">
        <v>1</v>
      </c>
      <c r="H407" s="0" t="n">
        <v>589.53</v>
      </c>
      <c r="I407" s="0" t="n">
        <v>589.53</v>
      </c>
      <c r="J407" s="0" t="n">
        <v>338.38</v>
      </c>
      <c r="K407" s="0" t="n">
        <v>251.15</v>
      </c>
      <c r="L407" s="0" t="s">
        <v>42</v>
      </c>
    </row>
    <row r="408" customFormat="false" ht="15" hidden="false" customHeight="false" outlineLevel="0" collapsed="false">
      <c r="A408" s="0" t="n">
        <v>524882</v>
      </c>
      <c r="B408" s="0" t="s">
        <v>562</v>
      </c>
      <c r="C408" s="0" t="s">
        <v>19</v>
      </c>
      <c r="D408" s="0" t="s">
        <v>33</v>
      </c>
      <c r="E408" s="0" t="s">
        <v>47</v>
      </c>
      <c r="F408" s="0" t="s">
        <v>563</v>
      </c>
      <c r="G408" s="0" t="n">
        <v>1</v>
      </c>
      <c r="H408" s="0" t="n">
        <v>115.54</v>
      </c>
      <c r="I408" s="0" t="n">
        <v>115.54</v>
      </c>
      <c r="J408" s="0" t="n">
        <v>65.63</v>
      </c>
      <c r="K408" s="0" t="n">
        <v>49.91</v>
      </c>
      <c r="L408" s="0" t="s">
        <v>127</v>
      </c>
    </row>
    <row r="409" customFormat="false" ht="15" hidden="false" customHeight="false" outlineLevel="0" collapsed="false">
      <c r="A409" s="0" t="n">
        <v>518968</v>
      </c>
      <c r="B409" s="0" t="s">
        <v>564</v>
      </c>
      <c r="C409" s="0" t="s">
        <v>19</v>
      </c>
      <c r="D409" s="0" t="s">
        <v>37</v>
      </c>
      <c r="E409" s="0" t="s">
        <v>29</v>
      </c>
      <c r="F409" s="0" t="s">
        <v>565</v>
      </c>
      <c r="G409" s="0" t="n">
        <v>3</v>
      </c>
      <c r="H409" s="0" t="n">
        <v>431.08</v>
      </c>
      <c r="I409" s="0" t="n">
        <v>1293.24</v>
      </c>
      <c r="J409" s="0" t="n">
        <v>769.95</v>
      </c>
      <c r="K409" s="0" t="n">
        <v>523.29</v>
      </c>
      <c r="L409" s="0" t="s">
        <v>198</v>
      </c>
    </row>
    <row r="410" customFormat="false" ht="15" hidden="false" customHeight="false" outlineLevel="0" collapsed="false">
      <c r="A410" s="0" t="n">
        <v>514954</v>
      </c>
      <c r="B410" s="0" t="s">
        <v>224</v>
      </c>
      <c r="C410" s="0" t="s">
        <v>19</v>
      </c>
      <c r="D410" s="0" t="s">
        <v>33</v>
      </c>
      <c r="E410" s="0" t="s">
        <v>21</v>
      </c>
      <c r="F410" s="0" t="s">
        <v>208</v>
      </c>
      <c r="G410" s="0" t="n">
        <v>1</v>
      </c>
      <c r="H410" s="0" t="n">
        <v>690.58</v>
      </c>
      <c r="I410" s="0" t="n">
        <v>690.58</v>
      </c>
      <c r="J410" s="0" t="n">
        <v>405.49</v>
      </c>
      <c r="K410" s="0" t="n">
        <v>285.09</v>
      </c>
      <c r="L410" s="0" t="s">
        <v>97</v>
      </c>
    </row>
    <row r="411" customFormat="false" ht="15" hidden="false" customHeight="false" outlineLevel="0" collapsed="false">
      <c r="A411" s="0" t="n">
        <v>528800</v>
      </c>
      <c r="B411" s="0" t="s">
        <v>212</v>
      </c>
      <c r="C411" s="0" t="s">
        <v>19</v>
      </c>
      <c r="D411" s="0" t="s">
        <v>54</v>
      </c>
      <c r="E411" s="0" t="s">
        <v>50</v>
      </c>
      <c r="F411" s="0" t="s">
        <v>294</v>
      </c>
      <c r="G411" s="0" t="n">
        <v>1</v>
      </c>
      <c r="H411" s="0" t="n">
        <v>289.62</v>
      </c>
      <c r="I411" s="0" t="n">
        <v>289.62</v>
      </c>
      <c r="J411" s="0" t="n">
        <v>171.7</v>
      </c>
      <c r="K411" s="0" t="n">
        <v>117.92</v>
      </c>
      <c r="L411" s="0" t="s">
        <v>214</v>
      </c>
    </row>
    <row r="412" customFormat="false" ht="15" hidden="false" customHeight="false" outlineLevel="0" collapsed="false">
      <c r="A412" s="0" t="n">
        <v>512687</v>
      </c>
      <c r="B412" s="0" t="s">
        <v>566</v>
      </c>
      <c r="C412" s="0" t="s">
        <v>19</v>
      </c>
      <c r="D412" s="0" t="s">
        <v>54</v>
      </c>
      <c r="E412" s="0" t="s">
        <v>47</v>
      </c>
      <c r="F412" s="0" t="s">
        <v>92</v>
      </c>
      <c r="G412" s="0" t="n">
        <v>4</v>
      </c>
      <c r="H412" s="0" t="n">
        <v>524.27</v>
      </c>
      <c r="I412" s="0" t="n">
        <v>2097.08</v>
      </c>
      <c r="J412" s="0" t="n">
        <v>1219.32</v>
      </c>
      <c r="K412" s="0" t="n">
        <v>877.76</v>
      </c>
      <c r="L412" s="0" t="s">
        <v>243</v>
      </c>
    </row>
    <row r="413" customFormat="false" ht="15" hidden="false" customHeight="false" outlineLevel="0" collapsed="false">
      <c r="A413" s="0" t="n">
        <v>518287</v>
      </c>
      <c r="B413" s="0" t="s">
        <v>567</v>
      </c>
      <c r="C413" s="0" t="s">
        <v>19</v>
      </c>
      <c r="D413" s="0" t="s">
        <v>20</v>
      </c>
      <c r="E413" s="0" t="s">
        <v>21</v>
      </c>
      <c r="F413" s="0" t="s">
        <v>208</v>
      </c>
      <c r="G413" s="0" t="n">
        <v>1</v>
      </c>
      <c r="H413" s="0" t="n">
        <v>669.29</v>
      </c>
      <c r="I413" s="0" t="n">
        <v>669.29</v>
      </c>
      <c r="J413" s="0" t="n">
        <v>369.97</v>
      </c>
      <c r="K413" s="0" t="n">
        <v>299.32</v>
      </c>
      <c r="L413" s="0" t="s">
        <v>348</v>
      </c>
    </row>
    <row r="414" customFormat="false" ht="15" hidden="false" customHeight="false" outlineLevel="0" collapsed="false">
      <c r="A414" s="0" t="n">
        <v>522079</v>
      </c>
      <c r="B414" s="0" t="s">
        <v>568</v>
      </c>
      <c r="C414" s="0" t="s">
        <v>19</v>
      </c>
      <c r="D414" s="0" t="s">
        <v>20</v>
      </c>
      <c r="E414" s="0" t="s">
        <v>29</v>
      </c>
      <c r="F414" s="0" t="s">
        <v>418</v>
      </c>
      <c r="G414" s="0" t="n">
        <v>1</v>
      </c>
      <c r="H414" s="0" t="n">
        <v>791.6</v>
      </c>
      <c r="I414" s="0" t="n">
        <v>791.6</v>
      </c>
      <c r="J414" s="0" t="n">
        <v>444.27</v>
      </c>
      <c r="K414" s="0" t="n">
        <v>347.33</v>
      </c>
      <c r="L414" s="0" t="s">
        <v>76</v>
      </c>
    </row>
    <row r="415" customFormat="false" ht="15" hidden="false" customHeight="false" outlineLevel="0" collapsed="false">
      <c r="A415" s="0" t="n">
        <v>507311</v>
      </c>
      <c r="B415" s="0" t="s">
        <v>569</v>
      </c>
      <c r="C415" s="0" t="s">
        <v>19</v>
      </c>
      <c r="D415" s="0" t="s">
        <v>25</v>
      </c>
      <c r="E415" s="0" t="s">
        <v>55</v>
      </c>
      <c r="F415" s="0" t="s">
        <v>153</v>
      </c>
      <c r="G415" s="0" t="n">
        <v>1</v>
      </c>
      <c r="H415" s="0" t="n">
        <v>55.59</v>
      </c>
      <c r="I415" s="0" t="n">
        <v>55.59</v>
      </c>
      <c r="J415" s="0" t="n">
        <v>32.64</v>
      </c>
      <c r="K415" s="0" t="n">
        <v>22.95</v>
      </c>
      <c r="L415" s="0" t="s">
        <v>154</v>
      </c>
    </row>
    <row r="416" customFormat="false" ht="15" hidden="false" customHeight="false" outlineLevel="0" collapsed="false">
      <c r="A416" s="0" t="n">
        <v>514014</v>
      </c>
      <c r="B416" s="0" t="s">
        <v>230</v>
      </c>
      <c r="C416" s="0" t="s">
        <v>19</v>
      </c>
      <c r="D416" s="0" t="s">
        <v>33</v>
      </c>
      <c r="E416" s="0" t="s">
        <v>29</v>
      </c>
      <c r="F416" s="0" t="s">
        <v>570</v>
      </c>
      <c r="G416" s="0" t="n">
        <v>3</v>
      </c>
      <c r="H416" s="0" t="n">
        <v>291.78</v>
      </c>
      <c r="I416" s="0" t="n">
        <v>875.34</v>
      </c>
      <c r="J416" s="0" t="n">
        <v>488.94</v>
      </c>
      <c r="K416" s="0" t="n">
        <v>386.4</v>
      </c>
      <c r="L416" s="0" t="s">
        <v>35</v>
      </c>
    </row>
    <row r="417" customFormat="false" ht="15" hidden="false" customHeight="false" outlineLevel="0" collapsed="false">
      <c r="A417" s="0" t="n">
        <v>525582</v>
      </c>
      <c r="B417" s="0" t="s">
        <v>571</v>
      </c>
      <c r="C417" s="0" t="s">
        <v>19</v>
      </c>
      <c r="D417" s="0" t="s">
        <v>25</v>
      </c>
      <c r="E417" s="0" t="s">
        <v>21</v>
      </c>
      <c r="F417" s="0" t="s">
        <v>189</v>
      </c>
      <c r="G417" s="0" t="n">
        <v>2</v>
      </c>
      <c r="H417" s="0" t="n">
        <v>135.67</v>
      </c>
      <c r="I417" s="0" t="n">
        <v>271.34</v>
      </c>
      <c r="J417" s="0" t="n">
        <v>155.34</v>
      </c>
      <c r="K417" s="0" t="n">
        <v>116</v>
      </c>
      <c r="L417" s="0" t="s">
        <v>127</v>
      </c>
    </row>
    <row r="418" customFormat="false" ht="15" hidden="false" customHeight="false" outlineLevel="0" collapsed="false">
      <c r="A418" s="0" t="n">
        <v>516543</v>
      </c>
      <c r="B418" s="0" t="s">
        <v>572</v>
      </c>
      <c r="C418" s="0" t="s">
        <v>19</v>
      </c>
      <c r="D418" s="0" t="s">
        <v>25</v>
      </c>
      <c r="E418" s="0" t="s">
        <v>59</v>
      </c>
      <c r="F418" s="0" t="s">
        <v>381</v>
      </c>
      <c r="G418" s="0" t="n">
        <v>1</v>
      </c>
      <c r="H418" s="0" t="n">
        <v>114.68</v>
      </c>
      <c r="I418" s="0" t="n">
        <v>114.68</v>
      </c>
      <c r="J418" s="0" t="n">
        <v>63.94</v>
      </c>
      <c r="K418" s="0" t="n">
        <v>50.74</v>
      </c>
      <c r="L418" s="0" t="s">
        <v>31</v>
      </c>
    </row>
    <row r="419" customFormat="false" ht="15" hidden="false" customHeight="false" outlineLevel="0" collapsed="false">
      <c r="A419" s="0" t="n">
        <v>537735</v>
      </c>
      <c r="B419" s="0" t="s">
        <v>573</v>
      </c>
      <c r="C419" s="0" t="s">
        <v>19</v>
      </c>
      <c r="D419" s="0" t="s">
        <v>54</v>
      </c>
      <c r="E419" s="0" t="s">
        <v>55</v>
      </c>
      <c r="F419" s="0" t="s">
        <v>136</v>
      </c>
      <c r="G419" s="0" t="n">
        <v>1</v>
      </c>
      <c r="H419" s="0" t="n">
        <v>110.67</v>
      </c>
      <c r="I419" s="0" t="n">
        <v>110.67</v>
      </c>
      <c r="J419" s="0" t="n">
        <v>66.11</v>
      </c>
      <c r="K419" s="0" t="n">
        <v>44.56</v>
      </c>
      <c r="L419" s="0" t="s">
        <v>64</v>
      </c>
    </row>
    <row r="420" customFormat="false" ht="15" hidden="false" customHeight="false" outlineLevel="0" collapsed="false">
      <c r="A420" s="0" t="n">
        <v>510631</v>
      </c>
      <c r="B420" s="0" t="s">
        <v>574</v>
      </c>
      <c r="C420" s="0" t="s">
        <v>19</v>
      </c>
      <c r="D420" s="0" t="s">
        <v>25</v>
      </c>
      <c r="E420" s="0" t="s">
        <v>50</v>
      </c>
      <c r="F420" s="0" t="s">
        <v>301</v>
      </c>
      <c r="G420" s="0" t="n">
        <v>1</v>
      </c>
      <c r="H420" s="0" t="n">
        <v>107.77</v>
      </c>
      <c r="I420" s="0" t="n">
        <v>107.77</v>
      </c>
      <c r="J420" s="0" t="n">
        <v>61.03</v>
      </c>
      <c r="K420" s="0" t="n">
        <v>46.74</v>
      </c>
      <c r="L420" s="0" t="s">
        <v>130</v>
      </c>
    </row>
    <row r="421" customFormat="false" ht="15" hidden="false" customHeight="false" outlineLevel="0" collapsed="false">
      <c r="A421" s="0" t="n">
        <v>503040</v>
      </c>
      <c r="B421" s="0" t="s">
        <v>575</v>
      </c>
      <c r="C421" s="0" t="s">
        <v>19</v>
      </c>
      <c r="D421" s="0" t="s">
        <v>20</v>
      </c>
      <c r="E421" s="0" t="s">
        <v>21</v>
      </c>
      <c r="F421" s="0" t="s">
        <v>96</v>
      </c>
      <c r="G421" s="0" t="n">
        <v>2</v>
      </c>
      <c r="H421" s="0" t="n">
        <v>1020.69</v>
      </c>
      <c r="I421" s="0" t="n">
        <v>2041.38</v>
      </c>
      <c r="J421" s="0" t="n">
        <v>1123.76</v>
      </c>
      <c r="K421" s="0" t="n">
        <v>917.62</v>
      </c>
      <c r="L421" s="0" t="s">
        <v>262</v>
      </c>
    </row>
    <row r="422" customFormat="false" ht="15" hidden="false" customHeight="false" outlineLevel="0" collapsed="false">
      <c r="A422" s="0" t="n">
        <v>508595</v>
      </c>
      <c r="B422" s="0" t="s">
        <v>576</v>
      </c>
      <c r="C422" s="0" t="s">
        <v>19</v>
      </c>
      <c r="D422" s="0" t="s">
        <v>37</v>
      </c>
      <c r="E422" s="0" t="s">
        <v>21</v>
      </c>
      <c r="F422" s="0" t="s">
        <v>374</v>
      </c>
      <c r="G422" s="0" t="n">
        <v>1</v>
      </c>
      <c r="H422" s="0" t="n">
        <v>1226.64</v>
      </c>
      <c r="I422" s="0" t="n">
        <v>1226.64</v>
      </c>
      <c r="J422" s="0" t="n">
        <v>721.88</v>
      </c>
      <c r="K422" s="0" t="n">
        <v>504.76</v>
      </c>
      <c r="L422" s="0" t="s">
        <v>39</v>
      </c>
    </row>
    <row r="423" customFormat="false" ht="15" hidden="false" customHeight="false" outlineLevel="0" collapsed="false">
      <c r="A423" s="0" t="n">
        <v>534141</v>
      </c>
      <c r="B423" s="0" t="s">
        <v>577</v>
      </c>
      <c r="C423" s="0" t="s">
        <v>19</v>
      </c>
      <c r="D423" s="0" t="s">
        <v>33</v>
      </c>
      <c r="E423" s="0" t="s">
        <v>50</v>
      </c>
      <c r="F423" s="0" t="s">
        <v>120</v>
      </c>
      <c r="G423" s="0" t="n">
        <v>3</v>
      </c>
      <c r="H423" s="0" t="n">
        <v>87.45</v>
      </c>
      <c r="I423" s="0" t="n">
        <v>262.35</v>
      </c>
      <c r="J423" s="0" t="n">
        <v>146.91</v>
      </c>
      <c r="K423" s="0" t="n">
        <v>115.44</v>
      </c>
      <c r="L423" s="0" t="s">
        <v>70</v>
      </c>
    </row>
    <row r="424" customFormat="false" ht="15" hidden="false" customHeight="false" outlineLevel="0" collapsed="false">
      <c r="A424" s="0" t="n">
        <v>504691</v>
      </c>
      <c r="B424" s="0" t="s">
        <v>578</v>
      </c>
      <c r="C424" s="0" t="s">
        <v>19</v>
      </c>
      <c r="D424" s="0" t="s">
        <v>37</v>
      </c>
      <c r="E424" s="0" t="s">
        <v>59</v>
      </c>
      <c r="F424" s="0" t="s">
        <v>526</v>
      </c>
      <c r="G424" s="0" t="n">
        <v>2</v>
      </c>
      <c r="H424" s="0" t="n">
        <v>238.47</v>
      </c>
      <c r="I424" s="0" t="n">
        <v>476.94</v>
      </c>
      <c r="J424" s="0" t="n">
        <v>270.56</v>
      </c>
      <c r="K424" s="0" t="n">
        <v>206.38</v>
      </c>
      <c r="L424" s="0" t="s">
        <v>252</v>
      </c>
    </row>
    <row r="425" customFormat="false" ht="15" hidden="false" customHeight="false" outlineLevel="0" collapsed="false">
      <c r="A425" s="0" t="n">
        <v>509444</v>
      </c>
      <c r="B425" s="0" t="s">
        <v>579</v>
      </c>
      <c r="C425" s="0" t="s">
        <v>19</v>
      </c>
      <c r="D425" s="0" t="s">
        <v>33</v>
      </c>
      <c r="E425" s="0" t="s">
        <v>50</v>
      </c>
      <c r="F425" s="0" t="s">
        <v>166</v>
      </c>
      <c r="G425" s="0" t="n">
        <v>1</v>
      </c>
      <c r="H425" s="0" t="n">
        <v>157.21</v>
      </c>
      <c r="I425" s="0" t="n">
        <v>157.21</v>
      </c>
      <c r="J425" s="0" t="n">
        <v>90.4</v>
      </c>
      <c r="K425" s="0" t="n">
        <v>66.81</v>
      </c>
      <c r="L425" s="0" t="s">
        <v>130</v>
      </c>
    </row>
    <row r="426" customFormat="false" ht="15" hidden="false" customHeight="false" outlineLevel="0" collapsed="false">
      <c r="A426" s="0" t="n">
        <v>528254</v>
      </c>
      <c r="B426" s="0" t="s">
        <v>580</v>
      </c>
      <c r="C426" s="0" t="s">
        <v>19</v>
      </c>
      <c r="D426" s="0" t="s">
        <v>37</v>
      </c>
      <c r="E426" s="0" t="s">
        <v>29</v>
      </c>
      <c r="F426" s="0" t="s">
        <v>261</v>
      </c>
      <c r="G426" s="0" t="n">
        <v>2</v>
      </c>
      <c r="H426" s="0" t="n">
        <v>304.28</v>
      </c>
      <c r="I426" s="0" t="n">
        <v>608.56</v>
      </c>
      <c r="J426" s="0" t="n">
        <v>341.1</v>
      </c>
      <c r="K426" s="0" t="n">
        <v>267.46</v>
      </c>
      <c r="L426" s="0" t="s">
        <v>52</v>
      </c>
    </row>
    <row r="427" customFormat="false" ht="15" hidden="false" customHeight="false" outlineLevel="0" collapsed="false">
      <c r="A427" s="0" t="n">
        <v>511685</v>
      </c>
      <c r="B427" s="0" t="s">
        <v>286</v>
      </c>
      <c r="C427" s="0" t="s">
        <v>19</v>
      </c>
      <c r="D427" s="0" t="s">
        <v>37</v>
      </c>
      <c r="E427" s="0" t="s">
        <v>59</v>
      </c>
      <c r="F427" s="0" t="s">
        <v>394</v>
      </c>
      <c r="G427" s="0" t="n">
        <v>1</v>
      </c>
      <c r="H427" s="0" t="n">
        <v>82.81</v>
      </c>
      <c r="I427" s="0" t="n">
        <v>82.81</v>
      </c>
      <c r="J427" s="0" t="n">
        <v>47.07</v>
      </c>
      <c r="K427" s="0" t="n">
        <v>35.74</v>
      </c>
      <c r="L427" s="0" t="s">
        <v>73</v>
      </c>
    </row>
    <row r="428" customFormat="false" ht="15" hidden="false" customHeight="false" outlineLevel="0" collapsed="false">
      <c r="A428" s="0" t="n">
        <v>501822</v>
      </c>
      <c r="B428" s="0" t="s">
        <v>581</v>
      </c>
      <c r="C428" s="0" t="s">
        <v>19</v>
      </c>
      <c r="D428" s="0" t="s">
        <v>54</v>
      </c>
      <c r="E428" s="0" t="s">
        <v>21</v>
      </c>
      <c r="F428" s="0" t="s">
        <v>283</v>
      </c>
      <c r="G428" s="0" t="n">
        <v>1</v>
      </c>
      <c r="H428" s="0" t="n">
        <v>826.47</v>
      </c>
      <c r="I428" s="0" t="n">
        <v>826.47</v>
      </c>
      <c r="J428" s="0" t="n">
        <v>489.48</v>
      </c>
      <c r="K428" s="0" t="n">
        <v>336.99</v>
      </c>
      <c r="L428" s="0" t="s">
        <v>61</v>
      </c>
    </row>
    <row r="429" customFormat="false" ht="15" hidden="false" customHeight="false" outlineLevel="0" collapsed="false">
      <c r="A429" s="0" t="n">
        <v>501551</v>
      </c>
      <c r="B429" s="0" t="s">
        <v>582</v>
      </c>
      <c r="C429" s="0" t="s">
        <v>19</v>
      </c>
      <c r="D429" s="0" t="s">
        <v>37</v>
      </c>
      <c r="E429" s="0" t="s">
        <v>59</v>
      </c>
      <c r="F429" s="0" t="s">
        <v>319</v>
      </c>
      <c r="G429" s="0" t="n">
        <v>1</v>
      </c>
      <c r="H429" s="0" t="n">
        <v>76.84</v>
      </c>
      <c r="I429" s="0" t="n">
        <v>76.84</v>
      </c>
      <c r="J429" s="0" t="n">
        <v>43.91</v>
      </c>
      <c r="K429" s="0" t="n">
        <v>32.93</v>
      </c>
      <c r="L429" s="0" t="s">
        <v>61</v>
      </c>
    </row>
    <row r="430" customFormat="false" ht="15" hidden="false" customHeight="false" outlineLevel="0" collapsed="false">
      <c r="A430" s="0" t="n">
        <v>525985</v>
      </c>
      <c r="B430" s="0" t="s">
        <v>40</v>
      </c>
      <c r="C430" s="0" t="s">
        <v>19</v>
      </c>
      <c r="D430" s="0" t="s">
        <v>33</v>
      </c>
      <c r="E430" s="0" t="s">
        <v>55</v>
      </c>
      <c r="F430" s="0" t="s">
        <v>87</v>
      </c>
      <c r="G430" s="0" t="n">
        <v>3</v>
      </c>
      <c r="H430" s="0" t="n">
        <v>63.15</v>
      </c>
      <c r="I430" s="0" t="n">
        <v>189.45</v>
      </c>
      <c r="J430" s="0" t="n">
        <v>105.39</v>
      </c>
      <c r="K430" s="0" t="n">
        <v>84.06</v>
      </c>
      <c r="L430" s="0" t="s">
        <v>42</v>
      </c>
    </row>
    <row r="431" customFormat="false" ht="15" hidden="false" customHeight="false" outlineLevel="0" collapsed="false">
      <c r="A431" s="0" t="n">
        <v>514432</v>
      </c>
      <c r="B431" s="0" t="s">
        <v>583</v>
      </c>
      <c r="C431" s="0" t="s">
        <v>19</v>
      </c>
      <c r="D431" s="0" t="s">
        <v>20</v>
      </c>
      <c r="E431" s="0" t="s">
        <v>29</v>
      </c>
      <c r="F431" s="0" t="s">
        <v>570</v>
      </c>
      <c r="G431" s="0" t="n">
        <v>1</v>
      </c>
      <c r="H431" s="0" t="n">
        <v>284.49</v>
      </c>
      <c r="I431" s="0" t="n">
        <v>284.49</v>
      </c>
      <c r="J431" s="0" t="n">
        <v>162.98</v>
      </c>
      <c r="K431" s="0" t="n">
        <v>121.51</v>
      </c>
      <c r="L431" s="0" t="s">
        <v>35</v>
      </c>
    </row>
    <row r="432" customFormat="false" ht="15" hidden="false" customHeight="false" outlineLevel="0" collapsed="false">
      <c r="A432" s="0" t="n">
        <v>528785</v>
      </c>
      <c r="B432" s="0" t="s">
        <v>584</v>
      </c>
      <c r="C432" s="0" t="s">
        <v>19</v>
      </c>
      <c r="D432" s="0" t="s">
        <v>37</v>
      </c>
      <c r="E432" s="0" t="s">
        <v>29</v>
      </c>
      <c r="F432" s="0" t="s">
        <v>585</v>
      </c>
      <c r="G432" s="0" t="n">
        <v>1</v>
      </c>
      <c r="H432" s="0" t="n">
        <v>293.3</v>
      </c>
      <c r="I432" s="0" t="n">
        <v>293.3</v>
      </c>
      <c r="J432" s="0" t="n">
        <v>171.83</v>
      </c>
      <c r="K432" s="0" t="n">
        <v>121.47</v>
      </c>
      <c r="L432" s="0" t="s">
        <v>214</v>
      </c>
    </row>
    <row r="433" customFormat="false" ht="15" hidden="false" customHeight="false" outlineLevel="0" collapsed="false">
      <c r="A433" s="0" t="n">
        <v>506319</v>
      </c>
      <c r="B433" s="0" t="s">
        <v>586</v>
      </c>
      <c r="C433" s="0" t="s">
        <v>19</v>
      </c>
      <c r="D433" s="0" t="s">
        <v>54</v>
      </c>
      <c r="E433" s="0" t="s">
        <v>47</v>
      </c>
      <c r="F433" s="0" t="s">
        <v>327</v>
      </c>
      <c r="G433" s="0" t="n">
        <v>1</v>
      </c>
      <c r="H433" s="0" t="n">
        <v>148.64</v>
      </c>
      <c r="I433" s="0" t="n">
        <v>148.64</v>
      </c>
      <c r="J433" s="0" t="n">
        <v>86.98</v>
      </c>
      <c r="K433" s="0" t="n">
        <v>61.66</v>
      </c>
      <c r="L433" s="0" t="s">
        <v>148</v>
      </c>
    </row>
    <row r="434" customFormat="false" ht="15" hidden="false" customHeight="false" outlineLevel="0" collapsed="false">
      <c r="A434" s="0" t="n">
        <v>508162</v>
      </c>
      <c r="B434" s="0" t="s">
        <v>503</v>
      </c>
      <c r="C434" s="0" t="s">
        <v>19</v>
      </c>
      <c r="D434" s="0" t="s">
        <v>37</v>
      </c>
      <c r="E434" s="0" t="s">
        <v>59</v>
      </c>
      <c r="F434" s="0" t="s">
        <v>414</v>
      </c>
      <c r="G434" s="0" t="n">
        <v>1</v>
      </c>
      <c r="H434" s="0" t="n">
        <v>218.13</v>
      </c>
      <c r="I434" s="0" t="n">
        <v>218.13</v>
      </c>
      <c r="J434" s="0" t="n">
        <v>124.8</v>
      </c>
      <c r="K434" s="0" t="n">
        <v>93.33</v>
      </c>
      <c r="L434" s="0" t="s">
        <v>39</v>
      </c>
    </row>
    <row r="435" customFormat="false" ht="15" hidden="false" customHeight="false" outlineLevel="0" collapsed="false">
      <c r="A435" s="0" t="n">
        <v>520572</v>
      </c>
      <c r="B435" s="0" t="s">
        <v>547</v>
      </c>
      <c r="C435" s="0" t="s">
        <v>19</v>
      </c>
      <c r="D435" s="0" t="s">
        <v>33</v>
      </c>
      <c r="E435" s="0" t="s">
        <v>59</v>
      </c>
      <c r="F435" s="0" t="s">
        <v>187</v>
      </c>
      <c r="G435" s="0" t="n">
        <v>1</v>
      </c>
      <c r="H435" s="0" t="n">
        <v>246.07</v>
      </c>
      <c r="I435" s="0" t="n">
        <v>246.07</v>
      </c>
      <c r="J435" s="0" t="n">
        <v>142.59</v>
      </c>
      <c r="K435" s="0" t="n">
        <v>103.48</v>
      </c>
      <c r="L435" s="0" t="s">
        <v>23</v>
      </c>
    </row>
    <row r="436" customFormat="false" ht="15" hidden="false" customHeight="false" outlineLevel="0" collapsed="false">
      <c r="A436" s="0" t="n">
        <v>506434</v>
      </c>
      <c r="B436" s="0" t="s">
        <v>587</v>
      </c>
      <c r="C436" s="0" t="s">
        <v>19</v>
      </c>
      <c r="D436" s="0" t="s">
        <v>37</v>
      </c>
      <c r="E436" s="0" t="s">
        <v>55</v>
      </c>
      <c r="F436" s="0" t="s">
        <v>87</v>
      </c>
      <c r="G436" s="0" t="n">
        <v>2</v>
      </c>
      <c r="H436" s="0" t="n">
        <v>163.97</v>
      </c>
      <c r="I436" s="0" t="n">
        <v>327.94</v>
      </c>
      <c r="J436" s="0" t="n">
        <v>181.96</v>
      </c>
      <c r="K436" s="0" t="n">
        <v>145.98</v>
      </c>
      <c r="L436" s="0" t="s">
        <v>148</v>
      </c>
    </row>
    <row r="437" customFormat="false" ht="15" hidden="false" customHeight="false" outlineLevel="0" collapsed="false">
      <c r="A437" s="0" t="n">
        <v>535362</v>
      </c>
      <c r="B437" s="0" t="s">
        <v>588</v>
      </c>
      <c r="C437" s="0" t="s">
        <v>19</v>
      </c>
      <c r="D437" s="0" t="s">
        <v>20</v>
      </c>
      <c r="E437" s="0" t="s">
        <v>59</v>
      </c>
      <c r="F437" s="0" t="s">
        <v>142</v>
      </c>
      <c r="G437" s="0" t="n">
        <v>2</v>
      </c>
      <c r="H437" s="0" t="n">
        <v>126.99</v>
      </c>
      <c r="I437" s="0" t="n">
        <v>253.98</v>
      </c>
      <c r="J437" s="0" t="n">
        <v>143.3</v>
      </c>
      <c r="K437" s="0" t="n">
        <v>110.68</v>
      </c>
      <c r="L437" s="0" t="s">
        <v>70</v>
      </c>
    </row>
    <row r="438" customFormat="false" ht="15" hidden="false" customHeight="false" outlineLevel="0" collapsed="false">
      <c r="A438" s="0" t="n">
        <v>506386</v>
      </c>
      <c r="B438" s="0" t="s">
        <v>589</v>
      </c>
      <c r="C438" s="0" t="s">
        <v>19</v>
      </c>
      <c r="D438" s="0" t="s">
        <v>20</v>
      </c>
      <c r="E438" s="0" t="s">
        <v>50</v>
      </c>
      <c r="F438" s="0" t="s">
        <v>194</v>
      </c>
      <c r="G438" s="0" t="n">
        <v>1</v>
      </c>
      <c r="H438" s="0" t="n">
        <v>263.18</v>
      </c>
      <c r="I438" s="0" t="n">
        <v>263.18</v>
      </c>
      <c r="J438" s="0" t="n">
        <v>149.37</v>
      </c>
      <c r="K438" s="0" t="n">
        <v>113.81</v>
      </c>
      <c r="L438" s="0" t="s">
        <v>148</v>
      </c>
    </row>
    <row r="439" customFormat="false" ht="15" hidden="false" customHeight="false" outlineLevel="0" collapsed="false">
      <c r="A439" s="0" t="n">
        <v>537667</v>
      </c>
      <c r="B439" s="0" t="s">
        <v>309</v>
      </c>
      <c r="C439" s="0" t="s">
        <v>19</v>
      </c>
      <c r="D439" s="0" t="s">
        <v>20</v>
      </c>
      <c r="E439" s="0" t="s">
        <v>55</v>
      </c>
      <c r="F439" s="0" t="s">
        <v>153</v>
      </c>
      <c r="G439" s="0" t="n">
        <v>1</v>
      </c>
      <c r="H439" s="0" t="n">
        <v>55.12</v>
      </c>
      <c r="I439" s="0" t="n">
        <v>55.12</v>
      </c>
      <c r="J439" s="0" t="n">
        <v>32.64</v>
      </c>
      <c r="K439" s="0" t="n">
        <v>22.48</v>
      </c>
      <c r="L439" s="0" t="s">
        <v>64</v>
      </c>
    </row>
    <row r="440" customFormat="false" ht="15" hidden="false" customHeight="false" outlineLevel="0" collapsed="false">
      <c r="A440" s="0" t="n">
        <v>524017</v>
      </c>
      <c r="B440" s="0" t="s">
        <v>590</v>
      </c>
      <c r="C440" s="0" t="s">
        <v>19</v>
      </c>
      <c r="D440" s="0" t="s">
        <v>20</v>
      </c>
      <c r="E440" s="0" t="s">
        <v>50</v>
      </c>
      <c r="F440" s="0" t="s">
        <v>202</v>
      </c>
      <c r="G440" s="0" t="n">
        <v>1</v>
      </c>
      <c r="H440" s="0" t="n">
        <v>263.24</v>
      </c>
      <c r="I440" s="0" t="n">
        <v>263.24</v>
      </c>
      <c r="J440" s="0" t="n">
        <v>155.78</v>
      </c>
      <c r="K440" s="0" t="n">
        <v>107.46</v>
      </c>
      <c r="L440" s="0" t="s">
        <v>107</v>
      </c>
    </row>
    <row r="441" customFormat="false" ht="15" hidden="false" customHeight="false" outlineLevel="0" collapsed="false">
      <c r="A441" s="0" t="n">
        <v>535162</v>
      </c>
      <c r="B441" s="0" t="s">
        <v>591</v>
      </c>
      <c r="C441" s="0" t="s">
        <v>19</v>
      </c>
      <c r="D441" s="0" t="s">
        <v>25</v>
      </c>
      <c r="E441" s="0" t="s">
        <v>50</v>
      </c>
      <c r="F441" s="0" t="s">
        <v>147</v>
      </c>
      <c r="G441" s="0" t="n">
        <v>1</v>
      </c>
      <c r="H441" s="0" t="n">
        <v>99.4</v>
      </c>
      <c r="I441" s="0" t="n">
        <v>99.4</v>
      </c>
      <c r="J441" s="0" t="n">
        <v>57.72</v>
      </c>
      <c r="K441" s="0" t="n">
        <v>41.68</v>
      </c>
      <c r="L441" s="0" t="s">
        <v>70</v>
      </c>
    </row>
    <row r="442" customFormat="false" ht="15" hidden="false" customHeight="false" outlineLevel="0" collapsed="false">
      <c r="A442" s="0" t="n">
        <v>501583</v>
      </c>
      <c r="B442" s="0" t="s">
        <v>592</v>
      </c>
      <c r="C442" s="0" t="s">
        <v>19</v>
      </c>
      <c r="D442" s="0" t="s">
        <v>54</v>
      </c>
      <c r="E442" s="0" t="s">
        <v>59</v>
      </c>
      <c r="F442" s="0" t="s">
        <v>187</v>
      </c>
      <c r="G442" s="0" t="n">
        <v>1</v>
      </c>
      <c r="H442" s="0" t="n">
        <v>245.48</v>
      </c>
      <c r="I442" s="0" t="n">
        <v>245.48</v>
      </c>
      <c r="J442" s="0" t="n">
        <v>142.59</v>
      </c>
      <c r="K442" s="0" t="n">
        <v>102.89</v>
      </c>
      <c r="L442" s="0" t="s">
        <v>61</v>
      </c>
    </row>
    <row r="443" customFormat="false" ht="15" hidden="false" customHeight="false" outlineLevel="0" collapsed="false">
      <c r="A443" s="0" t="n">
        <v>515750</v>
      </c>
      <c r="B443" s="0" t="s">
        <v>244</v>
      </c>
      <c r="C443" s="0" t="s">
        <v>19</v>
      </c>
      <c r="D443" s="0" t="s">
        <v>25</v>
      </c>
      <c r="E443" s="0" t="s">
        <v>50</v>
      </c>
      <c r="F443" s="0" t="s">
        <v>75</v>
      </c>
      <c r="G443" s="0" t="n">
        <v>1</v>
      </c>
      <c r="H443" s="0" t="n">
        <v>271.91</v>
      </c>
      <c r="I443" s="0" t="n">
        <v>271.91</v>
      </c>
      <c r="J443" s="0" t="n">
        <v>157.05</v>
      </c>
      <c r="K443" s="0" t="n">
        <v>114.86</v>
      </c>
      <c r="L443" s="0" t="s">
        <v>132</v>
      </c>
    </row>
    <row r="444" customFormat="false" ht="15" hidden="false" customHeight="false" outlineLevel="0" collapsed="false">
      <c r="A444" s="0" t="n">
        <v>518903</v>
      </c>
      <c r="B444" s="0" t="s">
        <v>593</v>
      </c>
      <c r="C444" s="0" t="s">
        <v>19</v>
      </c>
      <c r="D444" s="0" t="s">
        <v>54</v>
      </c>
      <c r="E444" s="0" t="s">
        <v>29</v>
      </c>
      <c r="F444" s="0" t="s">
        <v>85</v>
      </c>
      <c r="G444" s="0" t="n">
        <v>1</v>
      </c>
      <c r="H444" s="0" t="n">
        <v>584.29</v>
      </c>
      <c r="I444" s="0" t="n">
        <v>584.29</v>
      </c>
      <c r="J444" s="0" t="n">
        <v>346.6</v>
      </c>
      <c r="K444" s="0" t="n">
        <v>237.69</v>
      </c>
      <c r="L444" s="0" t="s">
        <v>198</v>
      </c>
    </row>
    <row r="445" customFormat="false" ht="15" hidden="false" customHeight="false" outlineLevel="0" collapsed="false">
      <c r="A445" s="0" t="n">
        <v>535794</v>
      </c>
      <c r="B445" s="0" t="s">
        <v>308</v>
      </c>
      <c r="C445" s="0" t="s">
        <v>19</v>
      </c>
      <c r="D445" s="0" t="s">
        <v>20</v>
      </c>
      <c r="E445" s="0" t="s">
        <v>59</v>
      </c>
      <c r="F445" s="0" t="s">
        <v>106</v>
      </c>
      <c r="G445" s="0" t="n">
        <v>1</v>
      </c>
      <c r="H445" s="0" t="n">
        <v>148.74</v>
      </c>
      <c r="I445" s="0" t="n">
        <v>148.74</v>
      </c>
      <c r="J445" s="0" t="n">
        <v>82.63</v>
      </c>
      <c r="K445" s="0" t="n">
        <v>66.11</v>
      </c>
      <c r="L445" s="0" t="s">
        <v>64</v>
      </c>
    </row>
    <row r="446" customFormat="false" ht="15" hidden="false" customHeight="false" outlineLevel="0" collapsed="false">
      <c r="A446" s="0" t="n">
        <v>521213</v>
      </c>
      <c r="B446" s="0" t="s">
        <v>594</v>
      </c>
      <c r="C446" s="0" t="s">
        <v>19</v>
      </c>
      <c r="D446" s="0" t="s">
        <v>54</v>
      </c>
      <c r="E446" s="0" t="s">
        <v>59</v>
      </c>
      <c r="F446" s="0" t="s">
        <v>408</v>
      </c>
      <c r="G446" s="0" t="n">
        <v>1</v>
      </c>
      <c r="H446" s="0" t="n">
        <v>256.13</v>
      </c>
      <c r="I446" s="0" t="n">
        <v>256.13</v>
      </c>
      <c r="J446" s="0" t="n">
        <v>142.94</v>
      </c>
      <c r="K446" s="0" t="n">
        <v>113.19</v>
      </c>
      <c r="L446" s="0" t="s">
        <v>23</v>
      </c>
    </row>
    <row r="447" customFormat="false" ht="15" hidden="false" customHeight="false" outlineLevel="0" collapsed="false">
      <c r="A447" s="0" t="n">
        <v>521987</v>
      </c>
      <c r="B447" s="0" t="s">
        <v>407</v>
      </c>
      <c r="C447" s="0" t="s">
        <v>19</v>
      </c>
      <c r="D447" s="0" t="s">
        <v>33</v>
      </c>
      <c r="E447" s="0" t="s">
        <v>55</v>
      </c>
      <c r="F447" s="0" t="s">
        <v>595</v>
      </c>
      <c r="G447" s="0" t="n">
        <v>1</v>
      </c>
      <c r="H447" s="0" t="n">
        <v>85.9</v>
      </c>
      <c r="I447" s="0" t="n">
        <v>85.9</v>
      </c>
      <c r="J447" s="0" t="n">
        <v>47.59</v>
      </c>
      <c r="K447" s="0" t="n">
        <v>38.31</v>
      </c>
      <c r="L447" s="0" t="s">
        <v>76</v>
      </c>
    </row>
    <row r="448" customFormat="false" ht="15" hidden="false" customHeight="false" outlineLevel="0" collapsed="false">
      <c r="A448" s="0" t="n">
        <v>510045</v>
      </c>
      <c r="B448" s="0" t="s">
        <v>596</v>
      </c>
      <c r="C448" s="0" t="s">
        <v>19</v>
      </c>
      <c r="D448" s="0" t="s">
        <v>54</v>
      </c>
      <c r="E448" s="0" t="s">
        <v>21</v>
      </c>
      <c r="F448" s="0" t="s">
        <v>283</v>
      </c>
      <c r="G448" s="0" t="n">
        <v>2</v>
      </c>
      <c r="H448" s="0" t="n">
        <v>834.73</v>
      </c>
      <c r="I448" s="0" t="n">
        <v>1669.46</v>
      </c>
      <c r="J448" s="0" t="n">
        <v>978.96</v>
      </c>
      <c r="K448" s="0" t="n">
        <v>690.5</v>
      </c>
      <c r="L448" s="0" t="s">
        <v>130</v>
      </c>
    </row>
    <row r="449" customFormat="false" ht="15" hidden="false" customHeight="false" outlineLevel="0" collapsed="false">
      <c r="A449" s="0" t="n">
        <v>520281</v>
      </c>
      <c r="B449" s="0" t="s">
        <v>597</v>
      </c>
      <c r="C449" s="0" t="s">
        <v>19</v>
      </c>
      <c r="D449" s="0" t="s">
        <v>25</v>
      </c>
      <c r="E449" s="0" t="s">
        <v>50</v>
      </c>
      <c r="F449" s="0" t="s">
        <v>358</v>
      </c>
      <c r="G449" s="0" t="n">
        <v>1</v>
      </c>
      <c r="H449" s="0" t="n">
        <v>201.65</v>
      </c>
      <c r="I449" s="0" t="n">
        <v>201.65</v>
      </c>
      <c r="J449" s="0" t="n">
        <v>116.12</v>
      </c>
      <c r="K449" s="0" t="n">
        <v>85.53</v>
      </c>
      <c r="L449" s="0" t="s">
        <v>23</v>
      </c>
    </row>
    <row r="450" customFormat="false" ht="15" hidden="false" customHeight="false" outlineLevel="0" collapsed="false">
      <c r="A450" s="0" t="n">
        <v>518190</v>
      </c>
      <c r="B450" s="0" t="s">
        <v>598</v>
      </c>
      <c r="C450" s="0" t="s">
        <v>19</v>
      </c>
      <c r="D450" s="0" t="s">
        <v>20</v>
      </c>
      <c r="E450" s="0" t="s">
        <v>21</v>
      </c>
      <c r="F450" s="0" t="s">
        <v>208</v>
      </c>
      <c r="G450" s="0" t="n">
        <v>1</v>
      </c>
      <c r="H450" s="0" t="n">
        <v>716.67</v>
      </c>
      <c r="I450" s="0" t="n">
        <v>716.67</v>
      </c>
      <c r="J450" s="0" t="n">
        <v>405.49</v>
      </c>
      <c r="K450" s="0" t="n">
        <v>311.18</v>
      </c>
      <c r="L450" s="0" t="s">
        <v>348</v>
      </c>
    </row>
    <row r="451" customFormat="false" ht="15" hidden="false" customHeight="false" outlineLevel="0" collapsed="false">
      <c r="A451" s="0" t="n">
        <v>503361</v>
      </c>
      <c r="B451" s="0" t="s">
        <v>599</v>
      </c>
      <c r="C451" s="0" t="s">
        <v>19</v>
      </c>
      <c r="D451" s="0" t="s">
        <v>25</v>
      </c>
      <c r="E451" s="0" t="s">
        <v>47</v>
      </c>
      <c r="F451" s="0" t="s">
        <v>461</v>
      </c>
      <c r="G451" s="0" t="n">
        <v>1</v>
      </c>
      <c r="H451" s="0" t="n">
        <v>551.02</v>
      </c>
      <c r="I451" s="0" t="n">
        <v>551.02</v>
      </c>
      <c r="J451" s="0" t="n">
        <v>312.12</v>
      </c>
      <c r="K451" s="0" t="n">
        <v>238.9</v>
      </c>
      <c r="L451" s="0" t="s">
        <v>262</v>
      </c>
    </row>
    <row r="452" customFormat="false" ht="15" hidden="false" customHeight="false" outlineLevel="0" collapsed="false">
      <c r="A452" s="0" t="n">
        <v>505319</v>
      </c>
      <c r="B452" s="0" t="s">
        <v>600</v>
      </c>
      <c r="C452" s="0" t="s">
        <v>19</v>
      </c>
      <c r="D452" s="0" t="s">
        <v>33</v>
      </c>
      <c r="E452" s="0" t="s">
        <v>55</v>
      </c>
      <c r="F452" s="0" t="s">
        <v>56</v>
      </c>
      <c r="G452" s="0" t="n">
        <v>1</v>
      </c>
      <c r="H452" s="0" t="n">
        <v>99.55</v>
      </c>
      <c r="I452" s="0" t="n">
        <v>99.55</v>
      </c>
      <c r="J452" s="0" t="n">
        <v>59.39</v>
      </c>
      <c r="K452" s="0" t="n">
        <v>40.16</v>
      </c>
      <c r="L452" s="0" t="s">
        <v>222</v>
      </c>
    </row>
    <row r="453" customFormat="false" ht="15" hidden="false" customHeight="false" outlineLevel="0" collapsed="false">
      <c r="A453" s="0" t="n">
        <v>512312</v>
      </c>
      <c r="B453" s="0" t="s">
        <v>601</v>
      </c>
      <c r="C453" s="0" t="s">
        <v>19</v>
      </c>
      <c r="D453" s="0" t="s">
        <v>37</v>
      </c>
      <c r="E453" s="0" t="s">
        <v>21</v>
      </c>
      <c r="F453" s="0" t="s">
        <v>231</v>
      </c>
      <c r="G453" s="0" t="n">
        <v>2</v>
      </c>
      <c r="H453" s="0" t="n">
        <v>1056.8</v>
      </c>
      <c r="I453" s="0" t="n">
        <v>2113.6</v>
      </c>
      <c r="J453" s="0" t="n">
        <v>1168.52</v>
      </c>
      <c r="K453" s="0" t="n">
        <v>945.08</v>
      </c>
      <c r="L453" s="0" t="s">
        <v>243</v>
      </c>
    </row>
    <row r="454" customFormat="false" ht="15" hidden="false" customHeight="false" outlineLevel="0" collapsed="false">
      <c r="A454" s="0" t="n">
        <v>500087</v>
      </c>
      <c r="B454" s="0" t="s">
        <v>602</v>
      </c>
      <c r="C454" s="0" t="s">
        <v>19</v>
      </c>
      <c r="D454" s="0" t="s">
        <v>33</v>
      </c>
      <c r="E454" s="0" t="s">
        <v>50</v>
      </c>
      <c r="F454" s="0" t="s">
        <v>115</v>
      </c>
      <c r="G454" s="0" t="n">
        <v>1</v>
      </c>
      <c r="H454" s="0" t="n">
        <v>83.99</v>
      </c>
      <c r="I454" s="0" t="n">
        <v>83.99</v>
      </c>
      <c r="J454" s="0" t="n">
        <v>46.36</v>
      </c>
      <c r="K454" s="0" t="n">
        <v>37.63</v>
      </c>
      <c r="L454" s="0" t="s">
        <v>82</v>
      </c>
    </row>
    <row r="455" customFormat="false" ht="15" hidden="false" customHeight="false" outlineLevel="0" collapsed="false">
      <c r="A455" s="0" t="n">
        <v>529577</v>
      </c>
      <c r="B455" s="0" t="s">
        <v>338</v>
      </c>
      <c r="C455" s="0" t="s">
        <v>19</v>
      </c>
      <c r="D455" s="0" t="s">
        <v>37</v>
      </c>
      <c r="E455" s="0" t="s">
        <v>50</v>
      </c>
      <c r="F455" s="0" t="s">
        <v>156</v>
      </c>
      <c r="G455" s="0" t="n">
        <v>2</v>
      </c>
      <c r="H455" s="0" t="n">
        <v>239.42</v>
      </c>
      <c r="I455" s="0" t="n">
        <v>478.84</v>
      </c>
      <c r="J455" s="0" t="n">
        <v>284.26</v>
      </c>
      <c r="K455" s="0" t="n">
        <v>194.58</v>
      </c>
      <c r="L455" s="0" t="s">
        <v>290</v>
      </c>
    </row>
    <row r="456" customFormat="false" ht="15" hidden="false" customHeight="false" outlineLevel="0" collapsed="false">
      <c r="A456" s="0" t="n">
        <v>507551</v>
      </c>
      <c r="B456" s="0" t="s">
        <v>424</v>
      </c>
      <c r="C456" s="0" t="s">
        <v>19</v>
      </c>
      <c r="D456" s="0" t="s">
        <v>20</v>
      </c>
      <c r="E456" s="0" t="s">
        <v>21</v>
      </c>
      <c r="F456" s="0" t="s">
        <v>41</v>
      </c>
      <c r="G456" s="0" t="n">
        <v>1</v>
      </c>
      <c r="H456" s="0" t="n">
        <v>153.24</v>
      </c>
      <c r="I456" s="0" t="n">
        <v>153.24</v>
      </c>
      <c r="J456" s="0" t="n">
        <v>88.45</v>
      </c>
      <c r="K456" s="0" t="n">
        <v>64.79</v>
      </c>
      <c r="L456" s="0" t="s">
        <v>39</v>
      </c>
    </row>
    <row r="457" customFormat="false" ht="15" hidden="false" customHeight="false" outlineLevel="0" collapsed="false">
      <c r="A457" s="0" t="n">
        <v>520555</v>
      </c>
      <c r="B457" s="0" t="s">
        <v>603</v>
      </c>
      <c r="C457" s="0" t="s">
        <v>19</v>
      </c>
      <c r="D457" s="0" t="s">
        <v>33</v>
      </c>
      <c r="E457" s="0" t="s">
        <v>21</v>
      </c>
      <c r="F457" s="0" t="s">
        <v>604</v>
      </c>
      <c r="G457" s="0" t="n">
        <v>1</v>
      </c>
      <c r="H457" s="0" t="n">
        <v>1168.86</v>
      </c>
      <c r="I457" s="0" t="n">
        <v>1168.86</v>
      </c>
      <c r="J457" s="0" t="n">
        <v>644.23</v>
      </c>
      <c r="K457" s="0" t="n">
        <v>524.63</v>
      </c>
      <c r="L457" s="0" t="s">
        <v>23</v>
      </c>
    </row>
    <row r="458" customFormat="false" ht="15" hidden="false" customHeight="false" outlineLevel="0" collapsed="false">
      <c r="A458" s="0" t="n">
        <v>530343</v>
      </c>
      <c r="B458" s="0" t="s">
        <v>605</v>
      </c>
      <c r="C458" s="0" t="s">
        <v>19</v>
      </c>
      <c r="D458" s="0" t="s">
        <v>25</v>
      </c>
      <c r="E458" s="0" t="s">
        <v>21</v>
      </c>
      <c r="F458" s="0" t="s">
        <v>247</v>
      </c>
      <c r="G458" s="0" t="n">
        <v>1</v>
      </c>
      <c r="H458" s="0" t="n">
        <v>263.23</v>
      </c>
      <c r="I458" s="0" t="n">
        <v>263.23</v>
      </c>
      <c r="J458" s="0" t="n">
        <v>147.09</v>
      </c>
      <c r="K458" s="0" t="n">
        <v>116.14</v>
      </c>
      <c r="L458" s="0" t="s">
        <v>57</v>
      </c>
    </row>
    <row r="459" customFormat="false" ht="15" hidden="false" customHeight="false" outlineLevel="0" collapsed="false">
      <c r="A459" s="0" t="n">
        <v>509176</v>
      </c>
      <c r="B459" s="0" t="s">
        <v>318</v>
      </c>
      <c r="C459" s="0" t="s">
        <v>19</v>
      </c>
      <c r="D459" s="0" t="s">
        <v>25</v>
      </c>
      <c r="E459" s="0" t="s">
        <v>21</v>
      </c>
      <c r="F459" s="0" t="s">
        <v>287</v>
      </c>
      <c r="G459" s="0" t="n">
        <v>1</v>
      </c>
      <c r="H459" s="0" t="n">
        <v>280.13</v>
      </c>
      <c r="I459" s="0" t="n">
        <v>280.13</v>
      </c>
      <c r="J459" s="0" t="n">
        <v>155.57</v>
      </c>
      <c r="K459" s="0" t="n">
        <v>124.56</v>
      </c>
      <c r="L459" s="0" t="s">
        <v>39</v>
      </c>
    </row>
    <row r="460" customFormat="false" ht="15" hidden="false" customHeight="false" outlineLevel="0" collapsed="false">
      <c r="A460" s="0" t="n">
        <v>525892</v>
      </c>
      <c r="B460" s="0" t="s">
        <v>450</v>
      </c>
      <c r="C460" s="0" t="s">
        <v>19</v>
      </c>
      <c r="D460" s="0" t="s">
        <v>33</v>
      </c>
      <c r="E460" s="0" t="s">
        <v>21</v>
      </c>
      <c r="F460" s="0" t="s">
        <v>305</v>
      </c>
      <c r="G460" s="0" t="n">
        <v>1</v>
      </c>
      <c r="H460" s="0" t="n">
        <v>314.79</v>
      </c>
      <c r="I460" s="0" t="n">
        <v>314.79</v>
      </c>
      <c r="J460" s="0" t="n">
        <v>173.18</v>
      </c>
      <c r="K460" s="0" t="n">
        <v>141.61</v>
      </c>
      <c r="L460" s="0" t="s">
        <v>42</v>
      </c>
    </row>
    <row r="461" customFormat="false" ht="15" hidden="false" customHeight="false" outlineLevel="0" collapsed="false">
      <c r="A461" s="0" t="n">
        <v>537778</v>
      </c>
      <c r="B461" s="0" t="s">
        <v>606</v>
      </c>
      <c r="C461" s="0" t="s">
        <v>19</v>
      </c>
      <c r="D461" s="0" t="s">
        <v>54</v>
      </c>
      <c r="E461" s="0" t="s">
        <v>21</v>
      </c>
      <c r="F461" s="0" t="s">
        <v>374</v>
      </c>
      <c r="G461" s="0" t="n">
        <v>2</v>
      </c>
      <c r="H461" s="0" t="n">
        <v>1308.07</v>
      </c>
      <c r="I461" s="0" t="n">
        <v>2616.14</v>
      </c>
      <c r="J461" s="0" t="n">
        <v>1443.76</v>
      </c>
      <c r="K461" s="0" t="n">
        <v>1172.38</v>
      </c>
      <c r="L461" s="0" t="s">
        <v>64</v>
      </c>
    </row>
    <row r="462" customFormat="false" ht="15" hidden="false" customHeight="false" outlineLevel="0" collapsed="false">
      <c r="A462" s="0" t="n">
        <v>534531</v>
      </c>
      <c r="B462" s="0" t="s">
        <v>607</v>
      </c>
      <c r="C462" s="0" t="s">
        <v>19</v>
      </c>
      <c r="D462" s="0" t="s">
        <v>37</v>
      </c>
      <c r="E462" s="0" t="s">
        <v>55</v>
      </c>
      <c r="F462" s="0" t="s">
        <v>111</v>
      </c>
      <c r="G462" s="0" t="n">
        <v>1</v>
      </c>
      <c r="H462" s="0" t="n">
        <v>167.27</v>
      </c>
      <c r="I462" s="0" t="n">
        <v>167.27</v>
      </c>
      <c r="J462" s="0" t="n">
        <v>94.24</v>
      </c>
      <c r="K462" s="0" t="n">
        <v>73.03</v>
      </c>
      <c r="L462" s="0" t="s">
        <v>70</v>
      </c>
    </row>
    <row r="463" customFormat="false" ht="15" hidden="false" customHeight="false" outlineLevel="0" collapsed="false">
      <c r="A463" s="0" t="n">
        <v>531598</v>
      </c>
      <c r="B463" s="0" t="s">
        <v>608</v>
      </c>
      <c r="C463" s="0" t="s">
        <v>19</v>
      </c>
      <c r="D463" s="0" t="s">
        <v>20</v>
      </c>
      <c r="E463" s="0" t="s">
        <v>21</v>
      </c>
      <c r="F463" s="0" t="s">
        <v>208</v>
      </c>
      <c r="G463" s="0" t="n">
        <v>1</v>
      </c>
      <c r="H463" s="0" t="n">
        <v>687.41</v>
      </c>
      <c r="I463" s="0" t="n">
        <v>687.41</v>
      </c>
      <c r="J463" s="0" t="n">
        <v>405.49</v>
      </c>
      <c r="K463" s="0" t="n">
        <v>281.92</v>
      </c>
      <c r="L463" s="0" t="s">
        <v>45</v>
      </c>
    </row>
    <row r="464" customFormat="false" ht="15" hidden="false" customHeight="false" outlineLevel="0" collapsed="false">
      <c r="A464" s="0" t="n">
        <v>533363</v>
      </c>
      <c r="B464" s="0" t="s">
        <v>609</v>
      </c>
      <c r="C464" s="0" t="s">
        <v>19</v>
      </c>
      <c r="D464" s="0" t="s">
        <v>37</v>
      </c>
      <c r="E464" s="0" t="s">
        <v>21</v>
      </c>
      <c r="F464" s="0" t="s">
        <v>26</v>
      </c>
      <c r="G464" s="0" t="n">
        <v>2</v>
      </c>
      <c r="H464" s="0" t="n">
        <v>1303.49</v>
      </c>
      <c r="I464" s="0" t="n">
        <v>2606.98</v>
      </c>
      <c r="J464" s="0" t="n">
        <v>1441.62</v>
      </c>
      <c r="K464" s="0" t="n">
        <v>1165.36</v>
      </c>
      <c r="L464" s="0" t="s">
        <v>70</v>
      </c>
    </row>
    <row r="465" customFormat="false" ht="15" hidden="false" customHeight="false" outlineLevel="0" collapsed="false">
      <c r="A465" s="0" t="n">
        <v>508024</v>
      </c>
      <c r="B465" s="0" t="s">
        <v>610</v>
      </c>
      <c r="C465" s="0" t="s">
        <v>19</v>
      </c>
      <c r="D465" s="0" t="s">
        <v>33</v>
      </c>
      <c r="E465" s="0" t="s">
        <v>21</v>
      </c>
      <c r="F465" s="0" t="s">
        <v>475</v>
      </c>
      <c r="G465" s="0" t="n">
        <v>1</v>
      </c>
      <c r="H465" s="0" t="n">
        <v>778.64</v>
      </c>
      <c r="I465" s="0" t="n">
        <v>778.64</v>
      </c>
      <c r="J465" s="0" t="n">
        <v>439.59</v>
      </c>
      <c r="K465" s="0" t="n">
        <v>339.05</v>
      </c>
      <c r="L465" s="0" t="s">
        <v>39</v>
      </c>
    </row>
    <row r="466" customFormat="false" ht="15" hidden="false" customHeight="false" outlineLevel="0" collapsed="false">
      <c r="A466" s="0" t="n">
        <v>512043</v>
      </c>
      <c r="B466" s="0" t="s">
        <v>611</v>
      </c>
      <c r="C466" s="0" t="s">
        <v>19</v>
      </c>
      <c r="D466" s="0" t="s">
        <v>33</v>
      </c>
      <c r="E466" s="0" t="s">
        <v>29</v>
      </c>
      <c r="F466" s="0" t="s">
        <v>366</v>
      </c>
      <c r="G466" s="0" t="n">
        <v>3</v>
      </c>
      <c r="H466" s="0" t="n">
        <v>206.47</v>
      </c>
      <c r="I466" s="0" t="n">
        <v>619.41</v>
      </c>
      <c r="J466" s="0" t="n">
        <v>350.1</v>
      </c>
      <c r="K466" s="0" t="n">
        <v>269.31</v>
      </c>
      <c r="L466" s="0" t="s">
        <v>243</v>
      </c>
    </row>
    <row r="467" customFormat="false" ht="15" hidden="false" customHeight="false" outlineLevel="0" collapsed="false">
      <c r="A467" s="0" t="n">
        <v>505341</v>
      </c>
      <c r="B467" s="0" t="s">
        <v>487</v>
      </c>
      <c r="C467" s="0" t="s">
        <v>19</v>
      </c>
      <c r="D467" s="0" t="s">
        <v>54</v>
      </c>
      <c r="E467" s="0" t="s">
        <v>50</v>
      </c>
      <c r="F467" s="0" t="s">
        <v>268</v>
      </c>
      <c r="G467" s="0" t="n">
        <v>1</v>
      </c>
      <c r="H467" s="0" t="n">
        <v>256.31</v>
      </c>
      <c r="I467" s="0" t="n">
        <v>256.31</v>
      </c>
      <c r="J467" s="0" t="n">
        <v>143.56</v>
      </c>
      <c r="K467" s="0" t="n">
        <v>112.75</v>
      </c>
      <c r="L467" s="0" t="s">
        <v>222</v>
      </c>
    </row>
    <row r="468" customFormat="false" ht="15" hidden="false" customHeight="false" outlineLevel="0" collapsed="false">
      <c r="A468" s="0" t="n">
        <v>502451</v>
      </c>
      <c r="B468" s="0" t="s">
        <v>357</v>
      </c>
      <c r="C468" s="0" t="s">
        <v>19</v>
      </c>
      <c r="D468" s="0" t="s">
        <v>25</v>
      </c>
      <c r="E468" s="0" t="s">
        <v>29</v>
      </c>
      <c r="F468" s="0" t="s">
        <v>516</v>
      </c>
      <c r="G468" s="0" t="n">
        <v>1</v>
      </c>
      <c r="H468" s="0" t="n">
        <v>590.4</v>
      </c>
      <c r="I468" s="0" t="n">
        <v>590.4</v>
      </c>
      <c r="J468" s="0" t="n">
        <v>346.91</v>
      </c>
      <c r="K468" s="0" t="n">
        <v>243.49</v>
      </c>
      <c r="L468" s="0" t="s">
        <v>102</v>
      </c>
    </row>
    <row r="469" customFormat="false" ht="15" hidden="false" customHeight="false" outlineLevel="0" collapsed="false">
      <c r="A469" s="0" t="n">
        <v>519027</v>
      </c>
      <c r="B469" s="0" t="s">
        <v>612</v>
      </c>
      <c r="C469" s="0" t="s">
        <v>19</v>
      </c>
      <c r="D469" s="0" t="s">
        <v>25</v>
      </c>
      <c r="E469" s="0" t="s">
        <v>55</v>
      </c>
      <c r="F469" s="0" t="s">
        <v>113</v>
      </c>
      <c r="G469" s="0" t="n">
        <v>2</v>
      </c>
      <c r="H469" s="0" t="n">
        <v>76.9</v>
      </c>
      <c r="I469" s="0" t="n">
        <v>153.8</v>
      </c>
      <c r="J469" s="0" t="n">
        <v>90.62</v>
      </c>
      <c r="K469" s="0" t="n">
        <v>63.18</v>
      </c>
      <c r="L469" s="0" t="s">
        <v>198</v>
      </c>
    </row>
    <row r="470" customFormat="false" ht="15" hidden="false" customHeight="false" outlineLevel="0" collapsed="false">
      <c r="A470" s="0" t="n">
        <v>514640</v>
      </c>
      <c r="B470" s="0" t="s">
        <v>613</v>
      </c>
      <c r="C470" s="0" t="s">
        <v>19</v>
      </c>
      <c r="D470" s="0" t="s">
        <v>54</v>
      </c>
      <c r="E470" s="0" t="s">
        <v>29</v>
      </c>
      <c r="F470" s="0" t="s">
        <v>261</v>
      </c>
      <c r="G470" s="0" t="n">
        <v>1</v>
      </c>
      <c r="H470" s="0" t="n">
        <v>710.87</v>
      </c>
      <c r="I470" s="0" t="n">
        <v>710.87</v>
      </c>
      <c r="J470" s="0" t="n">
        <v>423.66</v>
      </c>
      <c r="K470" s="0" t="n">
        <v>287.21</v>
      </c>
      <c r="L470" s="0" t="s">
        <v>97</v>
      </c>
    </row>
    <row r="471" customFormat="false" ht="15" hidden="false" customHeight="false" outlineLevel="0" collapsed="false">
      <c r="A471" s="0" t="n">
        <v>510233</v>
      </c>
      <c r="B471" s="0" t="s">
        <v>384</v>
      </c>
      <c r="C471" s="0" t="s">
        <v>19</v>
      </c>
      <c r="D471" s="0" t="s">
        <v>37</v>
      </c>
      <c r="E471" s="0" t="s">
        <v>29</v>
      </c>
      <c r="F471" s="0" t="s">
        <v>614</v>
      </c>
      <c r="G471" s="0" t="n">
        <v>2</v>
      </c>
      <c r="H471" s="0" t="n">
        <v>265.86</v>
      </c>
      <c r="I471" s="0" t="n">
        <v>531.72</v>
      </c>
      <c r="J471" s="0" t="n">
        <v>297.62</v>
      </c>
      <c r="K471" s="0" t="n">
        <v>234.1</v>
      </c>
      <c r="L471" s="0" t="s">
        <v>130</v>
      </c>
    </row>
    <row r="472" customFormat="false" ht="15" hidden="false" customHeight="false" outlineLevel="0" collapsed="false">
      <c r="A472" s="0" t="n">
        <v>500899</v>
      </c>
      <c r="B472" s="0" t="s">
        <v>615</v>
      </c>
      <c r="C472" s="0" t="s">
        <v>19</v>
      </c>
      <c r="D472" s="0" t="s">
        <v>33</v>
      </c>
      <c r="E472" s="0" t="s">
        <v>55</v>
      </c>
      <c r="F472" s="0" t="s">
        <v>383</v>
      </c>
      <c r="G472" s="0" t="n">
        <v>1</v>
      </c>
      <c r="H472" s="0" t="n">
        <v>63.36</v>
      </c>
      <c r="I472" s="0" t="n">
        <v>63.36</v>
      </c>
      <c r="J472" s="0" t="n">
        <v>36.96</v>
      </c>
      <c r="K472" s="0" t="n">
        <v>26.4</v>
      </c>
      <c r="L472" s="0" t="s">
        <v>277</v>
      </c>
    </row>
    <row r="473" customFormat="false" ht="15" hidden="false" customHeight="false" outlineLevel="0" collapsed="false">
      <c r="A473" s="0" t="n">
        <v>532814</v>
      </c>
      <c r="B473" s="0" t="s">
        <v>616</v>
      </c>
      <c r="C473" s="0" t="s">
        <v>19</v>
      </c>
      <c r="D473" s="0" t="s">
        <v>20</v>
      </c>
      <c r="E473" s="0" t="s">
        <v>21</v>
      </c>
      <c r="F473" s="0" t="s">
        <v>170</v>
      </c>
      <c r="G473" s="0" t="n">
        <v>3</v>
      </c>
      <c r="H473" s="0" t="n">
        <v>899.84</v>
      </c>
      <c r="I473" s="0" t="n">
        <v>2699.52</v>
      </c>
      <c r="J473" s="0" t="n">
        <v>1556.01</v>
      </c>
      <c r="K473" s="0" t="n">
        <v>1143.51</v>
      </c>
      <c r="L473" s="0" t="s">
        <v>27</v>
      </c>
    </row>
    <row r="474" customFormat="false" ht="15" hidden="false" customHeight="false" outlineLevel="0" collapsed="false">
      <c r="A474" s="0" t="n">
        <v>521193</v>
      </c>
      <c r="B474" s="0" t="s">
        <v>594</v>
      </c>
      <c r="C474" s="0" t="s">
        <v>19</v>
      </c>
      <c r="D474" s="0" t="s">
        <v>33</v>
      </c>
      <c r="E474" s="0" t="s">
        <v>47</v>
      </c>
      <c r="F474" s="0" t="s">
        <v>327</v>
      </c>
      <c r="G474" s="0" t="n">
        <v>1</v>
      </c>
      <c r="H474" s="0" t="n">
        <v>147.44</v>
      </c>
      <c r="I474" s="0" t="n">
        <v>147.44</v>
      </c>
      <c r="J474" s="0" t="n">
        <v>86.98</v>
      </c>
      <c r="K474" s="0" t="n">
        <v>60.46</v>
      </c>
      <c r="L474" s="0" t="s">
        <v>23</v>
      </c>
    </row>
    <row r="475" customFormat="false" ht="15" hidden="false" customHeight="false" outlineLevel="0" collapsed="false">
      <c r="A475" s="0" t="n">
        <v>506247</v>
      </c>
      <c r="B475" s="0" t="s">
        <v>558</v>
      </c>
      <c r="C475" s="0" t="s">
        <v>19</v>
      </c>
      <c r="D475" s="0" t="s">
        <v>54</v>
      </c>
      <c r="E475" s="0" t="s">
        <v>55</v>
      </c>
      <c r="F475" s="0" t="s">
        <v>134</v>
      </c>
      <c r="G475" s="0" t="n">
        <v>2</v>
      </c>
      <c r="H475" s="0" t="n">
        <v>87.17</v>
      </c>
      <c r="I475" s="0" t="n">
        <v>174.34</v>
      </c>
      <c r="J475" s="0" t="n">
        <v>97.72</v>
      </c>
      <c r="K475" s="0" t="n">
        <v>76.62</v>
      </c>
      <c r="L475" s="0" t="s">
        <v>148</v>
      </c>
    </row>
    <row r="476" customFormat="false" ht="15" hidden="false" customHeight="false" outlineLevel="0" collapsed="false">
      <c r="A476" s="0" t="n">
        <v>513950</v>
      </c>
      <c r="B476" s="0" t="s">
        <v>617</v>
      </c>
      <c r="C476" s="0" t="s">
        <v>19</v>
      </c>
      <c r="D476" s="0" t="s">
        <v>54</v>
      </c>
      <c r="E476" s="0" t="s">
        <v>55</v>
      </c>
      <c r="F476" s="0" t="s">
        <v>163</v>
      </c>
      <c r="G476" s="0" t="n">
        <v>1</v>
      </c>
      <c r="H476" s="0" t="n">
        <v>177.91</v>
      </c>
      <c r="I476" s="0" t="n">
        <v>177.91</v>
      </c>
      <c r="J476" s="0" t="n">
        <v>102.85</v>
      </c>
      <c r="K476" s="0" t="n">
        <v>75.06</v>
      </c>
      <c r="L476" s="0" t="s">
        <v>35</v>
      </c>
    </row>
    <row r="477" customFormat="false" ht="15" hidden="false" customHeight="false" outlineLevel="0" collapsed="false">
      <c r="A477" s="0" t="n">
        <v>500947</v>
      </c>
      <c r="B477" s="0" t="s">
        <v>618</v>
      </c>
      <c r="C477" s="0" t="s">
        <v>19</v>
      </c>
      <c r="D477" s="0" t="s">
        <v>33</v>
      </c>
      <c r="E477" s="0" t="s">
        <v>21</v>
      </c>
      <c r="F477" s="0" t="s">
        <v>475</v>
      </c>
      <c r="G477" s="0" t="n">
        <v>1</v>
      </c>
      <c r="H477" s="0" t="n">
        <v>792.24</v>
      </c>
      <c r="I477" s="0" t="n">
        <v>792.24</v>
      </c>
      <c r="J477" s="0" t="n">
        <v>439.59</v>
      </c>
      <c r="K477" s="0" t="n">
        <v>352.65</v>
      </c>
      <c r="L477" s="0" t="s">
        <v>277</v>
      </c>
    </row>
    <row r="478" customFormat="false" ht="15" hidden="false" customHeight="false" outlineLevel="0" collapsed="false">
      <c r="A478" s="0" t="n">
        <v>521203</v>
      </c>
      <c r="B478" s="0" t="s">
        <v>594</v>
      </c>
      <c r="C478" s="0" t="s">
        <v>19</v>
      </c>
      <c r="D478" s="0" t="s">
        <v>54</v>
      </c>
      <c r="E478" s="0" t="s">
        <v>21</v>
      </c>
      <c r="F478" s="0" t="s">
        <v>96</v>
      </c>
      <c r="G478" s="0" t="n">
        <v>4</v>
      </c>
      <c r="H478" s="0" t="n">
        <v>976.49</v>
      </c>
      <c r="I478" s="0" t="n">
        <v>3905.96</v>
      </c>
      <c r="J478" s="0" t="n">
        <v>2247.52</v>
      </c>
      <c r="K478" s="0" t="n">
        <v>1658.44</v>
      </c>
      <c r="L478" s="0" t="s">
        <v>23</v>
      </c>
    </row>
    <row r="479" customFormat="false" ht="15" hidden="false" customHeight="false" outlineLevel="0" collapsed="false">
      <c r="A479" s="0" t="n">
        <v>518217</v>
      </c>
      <c r="B479" s="0" t="s">
        <v>619</v>
      </c>
      <c r="C479" s="0" t="s">
        <v>19</v>
      </c>
      <c r="D479" s="0" t="s">
        <v>33</v>
      </c>
      <c r="E479" s="0" t="s">
        <v>21</v>
      </c>
      <c r="F479" s="0" t="s">
        <v>189</v>
      </c>
      <c r="G479" s="0" t="n">
        <v>1</v>
      </c>
      <c r="H479" s="0" t="n">
        <v>132.57</v>
      </c>
      <c r="I479" s="0" t="n">
        <v>132.57</v>
      </c>
      <c r="J479" s="0" t="n">
        <v>77.67</v>
      </c>
      <c r="K479" s="0" t="n">
        <v>54.9</v>
      </c>
      <c r="L479" s="0" t="s">
        <v>348</v>
      </c>
    </row>
    <row r="480" customFormat="false" ht="15" hidden="false" customHeight="false" outlineLevel="0" collapsed="false">
      <c r="A480" s="0" t="n">
        <v>514151</v>
      </c>
      <c r="B480" s="0" t="s">
        <v>620</v>
      </c>
      <c r="C480" s="0" t="s">
        <v>19</v>
      </c>
      <c r="D480" s="0" t="s">
        <v>54</v>
      </c>
      <c r="E480" s="0" t="s">
        <v>29</v>
      </c>
      <c r="F480" s="0" t="s">
        <v>621</v>
      </c>
      <c r="G480" s="0" t="n">
        <v>1</v>
      </c>
      <c r="H480" s="0" t="n">
        <v>727.98</v>
      </c>
      <c r="I480" s="0" t="n">
        <v>727.98</v>
      </c>
      <c r="J480" s="0" t="n">
        <v>434.57</v>
      </c>
      <c r="K480" s="0" t="n">
        <v>293.41</v>
      </c>
      <c r="L480" s="0" t="s">
        <v>35</v>
      </c>
    </row>
    <row r="481" customFormat="false" ht="15" hidden="false" customHeight="false" outlineLevel="0" collapsed="false">
      <c r="A481" s="0" t="n">
        <v>522074</v>
      </c>
      <c r="B481" s="0" t="s">
        <v>568</v>
      </c>
      <c r="C481" s="0" t="s">
        <v>19</v>
      </c>
      <c r="D481" s="0" t="s">
        <v>37</v>
      </c>
      <c r="E481" s="0" t="s">
        <v>29</v>
      </c>
      <c r="F481" s="0" t="s">
        <v>614</v>
      </c>
      <c r="G481" s="0" t="n">
        <v>1</v>
      </c>
      <c r="H481" s="0" t="n">
        <v>263.54</v>
      </c>
      <c r="I481" s="0" t="n">
        <v>263.54</v>
      </c>
      <c r="J481" s="0" t="n">
        <v>148.81</v>
      </c>
      <c r="K481" s="0" t="n">
        <v>114.73</v>
      </c>
      <c r="L481" s="0" t="s">
        <v>76</v>
      </c>
    </row>
    <row r="482" customFormat="false" ht="15" hidden="false" customHeight="false" outlineLevel="0" collapsed="false">
      <c r="A482" s="0" t="n">
        <v>519784</v>
      </c>
      <c r="B482" s="0" t="s">
        <v>622</v>
      </c>
      <c r="C482" s="0" t="s">
        <v>19</v>
      </c>
      <c r="D482" s="0" t="s">
        <v>33</v>
      </c>
      <c r="E482" s="0" t="s">
        <v>47</v>
      </c>
      <c r="F482" s="0" t="s">
        <v>138</v>
      </c>
      <c r="G482" s="0" t="n">
        <v>1</v>
      </c>
      <c r="H482" s="0" t="n">
        <v>560.63</v>
      </c>
      <c r="I482" s="0" t="n">
        <v>560.63</v>
      </c>
      <c r="J482" s="0" t="n">
        <v>333.52</v>
      </c>
      <c r="K482" s="0" t="n">
        <v>227.11</v>
      </c>
      <c r="L482" s="0" t="s">
        <v>23</v>
      </c>
    </row>
    <row r="483" customFormat="false" ht="15" hidden="false" customHeight="false" outlineLevel="0" collapsed="false">
      <c r="A483" s="0" t="n">
        <v>507195</v>
      </c>
      <c r="B483" s="0" t="s">
        <v>623</v>
      </c>
      <c r="C483" s="0" t="s">
        <v>19</v>
      </c>
      <c r="D483" s="0" t="s">
        <v>37</v>
      </c>
      <c r="E483" s="0" t="s">
        <v>50</v>
      </c>
      <c r="F483" s="0" t="s">
        <v>150</v>
      </c>
      <c r="G483" s="0" t="n">
        <v>1</v>
      </c>
      <c r="H483" s="0" t="n">
        <v>249.88</v>
      </c>
      <c r="I483" s="0" t="n">
        <v>249.88</v>
      </c>
      <c r="J483" s="0" t="n">
        <v>137.99</v>
      </c>
      <c r="K483" s="0" t="n">
        <v>111.89</v>
      </c>
      <c r="L483" s="0" t="s">
        <v>154</v>
      </c>
    </row>
    <row r="484" customFormat="false" ht="15" hidden="false" customHeight="false" outlineLevel="0" collapsed="false">
      <c r="A484" s="0" t="n">
        <v>504214</v>
      </c>
      <c r="B484" s="0" t="s">
        <v>624</v>
      </c>
      <c r="C484" s="0" t="s">
        <v>19</v>
      </c>
      <c r="D484" s="0" t="s">
        <v>54</v>
      </c>
      <c r="E484" s="0" t="s">
        <v>59</v>
      </c>
      <c r="F484" s="0" t="s">
        <v>381</v>
      </c>
      <c r="G484" s="0" t="n">
        <v>1</v>
      </c>
      <c r="H484" s="0" t="n">
        <v>111.82</v>
      </c>
      <c r="I484" s="0" t="n">
        <v>111.82</v>
      </c>
      <c r="J484" s="0" t="n">
        <v>63.94</v>
      </c>
      <c r="K484" s="0" t="n">
        <v>47.88</v>
      </c>
      <c r="L484" s="0" t="s">
        <v>67</v>
      </c>
    </row>
    <row r="485" customFormat="false" ht="15" hidden="false" customHeight="false" outlineLevel="0" collapsed="false">
      <c r="A485" s="0" t="n">
        <v>505112</v>
      </c>
      <c r="B485" s="0" t="s">
        <v>625</v>
      </c>
      <c r="C485" s="0" t="s">
        <v>19</v>
      </c>
      <c r="D485" s="0" t="s">
        <v>54</v>
      </c>
      <c r="E485" s="0" t="s">
        <v>21</v>
      </c>
      <c r="F485" s="0" t="s">
        <v>604</v>
      </c>
      <c r="G485" s="0" t="n">
        <v>1</v>
      </c>
      <c r="H485" s="0" t="n">
        <v>1147.13</v>
      </c>
      <c r="I485" s="0" t="n">
        <v>1147.13</v>
      </c>
      <c r="J485" s="0" t="n">
        <v>644.23</v>
      </c>
      <c r="K485" s="0" t="n">
        <v>502.9</v>
      </c>
      <c r="L485" s="0" t="s">
        <v>222</v>
      </c>
    </row>
    <row r="486" customFormat="false" ht="15" hidden="false" customHeight="false" outlineLevel="0" collapsed="false">
      <c r="A486" s="0" t="n">
        <v>532332</v>
      </c>
      <c r="B486" s="0" t="s">
        <v>626</v>
      </c>
      <c r="C486" s="0" t="s">
        <v>19</v>
      </c>
      <c r="D486" s="0" t="s">
        <v>33</v>
      </c>
      <c r="E486" s="0" t="s">
        <v>21</v>
      </c>
      <c r="F486" s="0" t="s">
        <v>22</v>
      </c>
      <c r="G486" s="0" t="n">
        <v>2</v>
      </c>
      <c r="H486" s="0" t="n">
        <v>91.33</v>
      </c>
      <c r="I486" s="0" t="n">
        <v>182.66</v>
      </c>
      <c r="J486" s="0" t="n">
        <v>102.54</v>
      </c>
      <c r="K486" s="0" t="n">
        <v>80.12</v>
      </c>
      <c r="L486" s="0" t="s">
        <v>27</v>
      </c>
    </row>
    <row r="487" customFormat="false" ht="15" hidden="false" customHeight="false" outlineLevel="0" collapsed="false">
      <c r="A487" s="0" t="n">
        <v>530204</v>
      </c>
      <c r="B487" s="0" t="s">
        <v>449</v>
      </c>
      <c r="C487" s="0" t="s">
        <v>19</v>
      </c>
      <c r="D487" s="0" t="s">
        <v>54</v>
      </c>
      <c r="E487" s="0" t="s">
        <v>29</v>
      </c>
      <c r="F487" s="0" t="s">
        <v>99</v>
      </c>
      <c r="G487" s="0" t="n">
        <v>1</v>
      </c>
      <c r="H487" s="0" t="n">
        <v>476.49</v>
      </c>
      <c r="I487" s="0" t="n">
        <v>476.49</v>
      </c>
      <c r="J487" s="0" t="n">
        <v>269.75</v>
      </c>
      <c r="K487" s="0" t="n">
        <v>206.74</v>
      </c>
      <c r="L487" s="0" t="s">
        <v>290</v>
      </c>
    </row>
    <row r="488" customFormat="false" ht="15" hidden="false" customHeight="false" outlineLevel="0" collapsed="false">
      <c r="A488" s="0" t="n">
        <v>523280</v>
      </c>
      <c r="B488" s="0" t="s">
        <v>627</v>
      </c>
      <c r="C488" s="0" t="s">
        <v>19</v>
      </c>
      <c r="D488" s="0" t="s">
        <v>25</v>
      </c>
      <c r="E488" s="0" t="s">
        <v>50</v>
      </c>
      <c r="F488" s="0" t="s">
        <v>421</v>
      </c>
      <c r="G488" s="0" t="n">
        <v>1</v>
      </c>
      <c r="H488" s="0" t="n">
        <v>221.9</v>
      </c>
      <c r="I488" s="0" t="n">
        <v>221.9</v>
      </c>
      <c r="J488" s="0" t="n">
        <v>122.33</v>
      </c>
      <c r="K488" s="0" t="n">
        <v>99.57</v>
      </c>
      <c r="L488" s="0" t="s">
        <v>76</v>
      </c>
    </row>
    <row r="489" customFormat="false" ht="15" hidden="false" customHeight="false" outlineLevel="0" collapsed="false">
      <c r="A489" s="0" t="n">
        <v>533670</v>
      </c>
      <c r="B489" s="0" t="s">
        <v>68</v>
      </c>
      <c r="C489" s="0" t="s">
        <v>19</v>
      </c>
      <c r="D489" s="0" t="s">
        <v>54</v>
      </c>
      <c r="E489" s="0" t="s">
        <v>59</v>
      </c>
      <c r="F489" s="0" t="s">
        <v>142</v>
      </c>
      <c r="G489" s="0" t="n">
        <v>1</v>
      </c>
      <c r="H489" s="0" t="n">
        <v>129.78</v>
      </c>
      <c r="I489" s="0" t="n">
        <v>129.78</v>
      </c>
      <c r="J489" s="0" t="n">
        <v>71.65</v>
      </c>
      <c r="K489" s="0" t="n">
        <v>58.13</v>
      </c>
      <c r="L489" s="0" t="s">
        <v>70</v>
      </c>
    </row>
    <row r="490" customFormat="false" ht="15" hidden="false" customHeight="false" outlineLevel="0" collapsed="false">
      <c r="A490" s="0" t="n">
        <v>534504</v>
      </c>
      <c r="B490" s="0" t="s">
        <v>607</v>
      </c>
      <c r="C490" s="0" t="s">
        <v>19</v>
      </c>
      <c r="D490" s="0" t="s">
        <v>25</v>
      </c>
      <c r="E490" s="0" t="s">
        <v>47</v>
      </c>
      <c r="F490" s="0" t="s">
        <v>628</v>
      </c>
      <c r="G490" s="0" t="n">
        <v>1</v>
      </c>
      <c r="H490" s="0" t="n">
        <v>657.22</v>
      </c>
      <c r="I490" s="0" t="n">
        <v>657.22</v>
      </c>
      <c r="J490" s="0" t="n">
        <v>365.42</v>
      </c>
      <c r="K490" s="0" t="n">
        <v>291.8</v>
      </c>
      <c r="L490" s="0" t="s">
        <v>70</v>
      </c>
    </row>
    <row r="491" customFormat="false" ht="15" hidden="false" customHeight="false" outlineLevel="0" collapsed="false">
      <c r="A491" s="0" t="n">
        <v>500876</v>
      </c>
      <c r="B491" s="0" t="s">
        <v>629</v>
      </c>
      <c r="C491" s="0" t="s">
        <v>19</v>
      </c>
      <c r="D491" s="0" t="s">
        <v>54</v>
      </c>
      <c r="E491" s="0" t="s">
        <v>21</v>
      </c>
      <c r="F491" s="0" t="s">
        <v>329</v>
      </c>
      <c r="G491" s="0" t="n">
        <v>2</v>
      </c>
      <c r="H491" s="0" t="n">
        <v>1250.23</v>
      </c>
      <c r="I491" s="0" t="n">
        <v>2500.46</v>
      </c>
      <c r="J491" s="0" t="n">
        <v>1430.58</v>
      </c>
      <c r="K491" s="0" t="n">
        <v>1069.88</v>
      </c>
      <c r="L491" s="0" t="s">
        <v>277</v>
      </c>
    </row>
    <row r="492" customFormat="false" ht="15" hidden="false" customHeight="false" outlineLevel="0" collapsed="false">
      <c r="A492" s="0" t="n">
        <v>528913</v>
      </c>
      <c r="B492" s="0" t="s">
        <v>630</v>
      </c>
      <c r="C492" s="0" t="s">
        <v>19</v>
      </c>
      <c r="D492" s="0" t="s">
        <v>33</v>
      </c>
      <c r="E492" s="0" t="s">
        <v>29</v>
      </c>
      <c r="F492" s="0" t="s">
        <v>245</v>
      </c>
      <c r="G492" s="0" t="n">
        <v>1</v>
      </c>
      <c r="H492" s="0" t="n">
        <v>621.23</v>
      </c>
      <c r="I492" s="0" t="n">
        <v>621.23</v>
      </c>
      <c r="J492" s="0" t="n">
        <v>352.23</v>
      </c>
      <c r="K492" s="0" t="n">
        <v>269</v>
      </c>
      <c r="L492" s="0" t="s">
        <v>214</v>
      </c>
    </row>
    <row r="493" customFormat="false" ht="15" hidden="false" customHeight="false" outlineLevel="0" collapsed="false">
      <c r="A493" s="0" t="n">
        <v>532729</v>
      </c>
      <c r="B493" s="0" t="s">
        <v>631</v>
      </c>
      <c r="C493" s="0" t="s">
        <v>19</v>
      </c>
      <c r="D493" s="0" t="s">
        <v>37</v>
      </c>
      <c r="E493" s="0" t="s">
        <v>55</v>
      </c>
      <c r="F493" s="0" t="s">
        <v>117</v>
      </c>
      <c r="G493" s="0" t="n">
        <v>1</v>
      </c>
      <c r="H493" s="0" t="n">
        <v>146.74</v>
      </c>
      <c r="I493" s="0" t="n">
        <v>146.74</v>
      </c>
      <c r="J493" s="0" t="n">
        <v>83.48</v>
      </c>
      <c r="K493" s="0" t="n">
        <v>63.26</v>
      </c>
      <c r="L493" s="0" t="s">
        <v>27</v>
      </c>
    </row>
    <row r="494" customFormat="false" ht="15" hidden="false" customHeight="false" outlineLevel="0" collapsed="false">
      <c r="A494" s="0" t="n">
        <v>500746</v>
      </c>
      <c r="B494" s="0" t="s">
        <v>632</v>
      </c>
      <c r="C494" s="0" t="s">
        <v>19</v>
      </c>
      <c r="D494" s="0" t="s">
        <v>25</v>
      </c>
      <c r="E494" s="0" t="s">
        <v>21</v>
      </c>
      <c r="F494" s="0" t="s">
        <v>292</v>
      </c>
      <c r="G494" s="0" t="n">
        <v>3</v>
      </c>
      <c r="H494" s="0" t="n">
        <v>121.61</v>
      </c>
      <c r="I494" s="0" t="n">
        <v>364.83</v>
      </c>
      <c r="J494" s="0" t="n">
        <v>210.84</v>
      </c>
      <c r="K494" s="0" t="n">
        <v>153.99</v>
      </c>
      <c r="L494" s="0" t="s">
        <v>277</v>
      </c>
    </row>
    <row r="495" customFormat="false" ht="15" hidden="false" customHeight="false" outlineLevel="0" collapsed="false">
      <c r="A495" s="0" t="n">
        <v>525762</v>
      </c>
      <c r="B495" s="0" t="s">
        <v>633</v>
      </c>
      <c r="C495" s="0" t="s">
        <v>19</v>
      </c>
      <c r="D495" s="0" t="s">
        <v>25</v>
      </c>
      <c r="E495" s="0" t="s">
        <v>59</v>
      </c>
      <c r="F495" s="0" t="s">
        <v>151</v>
      </c>
      <c r="G495" s="0" t="n">
        <v>1</v>
      </c>
      <c r="H495" s="0" t="n">
        <v>199.81</v>
      </c>
      <c r="I495" s="0" t="n">
        <v>199.81</v>
      </c>
      <c r="J495" s="0" t="n">
        <v>112.77</v>
      </c>
      <c r="K495" s="0" t="n">
        <v>87.04</v>
      </c>
      <c r="L495" s="0" t="s">
        <v>42</v>
      </c>
    </row>
    <row r="496" customFormat="false" ht="15" hidden="false" customHeight="false" outlineLevel="0" collapsed="false">
      <c r="A496" s="0" t="n">
        <v>535623</v>
      </c>
      <c r="B496" s="0" t="s">
        <v>83</v>
      </c>
      <c r="C496" s="0" t="s">
        <v>19</v>
      </c>
      <c r="D496" s="0" t="s">
        <v>20</v>
      </c>
      <c r="E496" s="0" t="s">
        <v>47</v>
      </c>
      <c r="F496" s="0" t="s">
        <v>461</v>
      </c>
      <c r="G496" s="0" t="n">
        <v>1</v>
      </c>
      <c r="H496" s="0" t="n">
        <v>561.89</v>
      </c>
      <c r="I496" s="0" t="n">
        <v>561.89</v>
      </c>
      <c r="J496" s="0" t="n">
        <v>312.12</v>
      </c>
      <c r="K496" s="0" t="n">
        <v>249.77</v>
      </c>
      <c r="L496" s="0" t="s">
        <v>64</v>
      </c>
    </row>
    <row r="497" customFormat="false" ht="15" hidden="false" customHeight="false" outlineLevel="0" collapsed="false">
      <c r="A497" s="0" t="n">
        <v>502766</v>
      </c>
      <c r="B497" s="0" t="s">
        <v>496</v>
      </c>
      <c r="C497" s="0" t="s">
        <v>19</v>
      </c>
      <c r="D497" s="0" t="s">
        <v>54</v>
      </c>
      <c r="E497" s="0" t="s">
        <v>21</v>
      </c>
      <c r="F497" s="0" t="s">
        <v>360</v>
      </c>
      <c r="G497" s="0" t="n">
        <v>2</v>
      </c>
      <c r="H497" s="0" t="n">
        <v>423</v>
      </c>
      <c r="I497" s="0" t="n">
        <v>846</v>
      </c>
      <c r="J497" s="0" t="n">
        <v>476.58</v>
      </c>
      <c r="K497" s="0" t="n">
        <v>369.42</v>
      </c>
      <c r="L497" s="0" t="s">
        <v>102</v>
      </c>
    </row>
    <row r="498" customFormat="false" ht="15" hidden="false" customHeight="false" outlineLevel="0" collapsed="false">
      <c r="A498" s="0" t="n">
        <v>501240</v>
      </c>
      <c r="B498" s="0" t="s">
        <v>276</v>
      </c>
      <c r="C498" s="0" t="s">
        <v>19</v>
      </c>
      <c r="D498" s="0" t="s">
        <v>33</v>
      </c>
      <c r="E498" s="0" t="s">
        <v>21</v>
      </c>
      <c r="F498" s="0" t="s">
        <v>360</v>
      </c>
      <c r="G498" s="0" t="n">
        <v>1</v>
      </c>
      <c r="H498" s="0" t="n">
        <v>422.17</v>
      </c>
      <c r="I498" s="0" t="n">
        <v>422.17</v>
      </c>
      <c r="J498" s="0" t="n">
        <v>238.29</v>
      </c>
      <c r="K498" s="0" t="n">
        <v>183.88</v>
      </c>
      <c r="L498" s="0" t="s">
        <v>277</v>
      </c>
    </row>
    <row r="499" customFormat="false" ht="15" hidden="false" customHeight="false" outlineLevel="0" collapsed="false">
      <c r="A499" s="0" t="n">
        <v>520258</v>
      </c>
      <c r="B499" s="0" t="s">
        <v>597</v>
      </c>
      <c r="C499" s="0" t="s">
        <v>19</v>
      </c>
      <c r="D499" s="0" t="s">
        <v>25</v>
      </c>
      <c r="E499" s="0" t="s">
        <v>21</v>
      </c>
      <c r="F499" s="0" t="s">
        <v>22</v>
      </c>
      <c r="G499" s="0" t="n">
        <v>1</v>
      </c>
      <c r="H499" s="0" t="n">
        <v>91.8</v>
      </c>
      <c r="I499" s="0" t="n">
        <v>91.8</v>
      </c>
      <c r="J499" s="0" t="n">
        <v>51.27</v>
      </c>
      <c r="K499" s="0" t="n">
        <v>40.53</v>
      </c>
      <c r="L499" s="0" t="s">
        <v>23</v>
      </c>
    </row>
    <row r="500" customFormat="false" ht="15" hidden="false" customHeight="false" outlineLevel="0" collapsed="false">
      <c r="A500" s="0" t="n">
        <v>537152</v>
      </c>
      <c r="B500" s="0" t="s">
        <v>549</v>
      </c>
      <c r="C500" s="0" t="s">
        <v>19</v>
      </c>
      <c r="D500" s="0" t="s">
        <v>54</v>
      </c>
      <c r="E500" s="0" t="s">
        <v>55</v>
      </c>
      <c r="F500" s="0" t="s">
        <v>256</v>
      </c>
      <c r="G500" s="0" t="n">
        <v>3</v>
      </c>
      <c r="H500" s="0" t="n">
        <v>115.51</v>
      </c>
      <c r="I500" s="0" t="n">
        <v>346.53</v>
      </c>
      <c r="J500" s="0" t="n">
        <v>190.83</v>
      </c>
      <c r="K500" s="0" t="n">
        <v>155.7</v>
      </c>
      <c r="L500" s="0" t="s">
        <v>64</v>
      </c>
    </row>
    <row r="501" customFormat="false" ht="15" hidden="false" customHeight="false" outlineLevel="0" collapsed="false">
      <c r="A501" s="0" t="n">
        <v>530847</v>
      </c>
      <c r="B501" s="0" t="s">
        <v>207</v>
      </c>
      <c r="C501" s="0" t="s">
        <v>19</v>
      </c>
      <c r="D501" s="0" t="s">
        <v>20</v>
      </c>
      <c r="E501" s="0" t="s">
        <v>50</v>
      </c>
      <c r="F501" s="0" t="s">
        <v>194</v>
      </c>
      <c r="G501" s="0" t="n">
        <v>1</v>
      </c>
      <c r="H501" s="0" t="n">
        <v>254.19</v>
      </c>
      <c r="I501" s="0" t="n">
        <v>254.19</v>
      </c>
      <c r="J501" s="0" t="n">
        <v>149.37</v>
      </c>
      <c r="K501" s="0" t="n">
        <v>104.82</v>
      </c>
      <c r="L501" s="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9.7" hidden="false" customHeight="false" outlineLevel="0" collapsed="false">
      <c r="A1" s="8" t="s">
        <v>634</v>
      </c>
    </row>
    <row r="2" customFormat="false" ht="15" hidden="false" customHeight="false" outlineLevel="0" collapsed="false">
      <c r="A2" s="6" t="s">
        <v>635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9" t="s">
        <v>636</v>
      </c>
      <c r="B4" s="10" t="s">
        <v>21</v>
      </c>
      <c r="C4" s="10" t="s">
        <v>29</v>
      </c>
      <c r="D4" s="10" t="s">
        <v>50</v>
      </c>
      <c r="E4" s="10" t="s">
        <v>59</v>
      </c>
      <c r="F4" s="10" t="s">
        <v>55</v>
      </c>
      <c r="G4" s="10" t="s">
        <v>47</v>
      </c>
      <c r="H4" s="9" t="s">
        <v>637</v>
      </c>
    </row>
    <row r="5" customFormat="false" ht="15" hidden="false" customHeight="false" outlineLevel="0" collapsed="false">
      <c r="A5" s="11" t="s">
        <v>37</v>
      </c>
      <c r="B5" s="12" t="n">
        <f aca="false">SUMIFS('Transaction Sample'!$I$2:$I$501,'Transaction Sample'!$D$2:$D$501,$A5,'Transaction Sample'!$E$2:$E$501,B$4)</f>
        <v>25050.28</v>
      </c>
      <c r="C5" s="12" t="n">
        <f aca="false">SUMIFS('Transaction Sample'!$I$2:$I$501,'Transaction Sample'!$D$2:$D$501,$A5,'Transaction Sample'!$E$2:$E$501,C$4)</f>
        <v>5833.25</v>
      </c>
      <c r="D5" s="12" t="n">
        <f aca="false">SUMIFS('Transaction Sample'!$I$2:$I$501,'Transaction Sample'!$D$2:$D$501,$A5,'Transaction Sample'!$E$2:$E$501,D$4)</f>
        <v>9123.36</v>
      </c>
      <c r="E5" s="12" t="n">
        <f aca="false">SUMIFS('Transaction Sample'!$I$2:$I$501,'Transaction Sample'!$D$2:$D$501,$A5,'Transaction Sample'!$E$2:$E$501,E$4)</f>
        <v>2759.88</v>
      </c>
      <c r="F5" s="12" t="n">
        <f aca="false">SUMIFS('Transaction Sample'!$I$2:$I$501,'Transaction Sample'!$D$2:$D$501,$A5,'Transaction Sample'!$E$2:$E$501,F$4)</f>
        <v>2611.43</v>
      </c>
      <c r="G5" s="12" t="n">
        <f aca="false">SUMIFS('Transaction Sample'!$I$2:$I$501,'Transaction Sample'!$D$2:$D$501,$A5,'Transaction Sample'!$E$2:$E$501,G$4)</f>
        <v>6208.68</v>
      </c>
      <c r="H5" s="13" t="n">
        <f aca="false">SUM(B5:G5)</f>
        <v>51586.88</v>
      </c>
    </row>
    <row r="6" customFormat="false" ht="15" hidden="false" customHeight="false" outlineLevel="0" collapsed="false">
      <c r="A6" s="11" t="s">
        <v>20</v>
      </c>
      <c r="B6" s="12" t="n">
        <f aca="false">SUMIFS('Transaction Sample'!$I$2:$I$501,'Transaction Sample'!$D$2:$D$501,$A6,'Transaction Sample'!$E$2:$E$501,B$4)</f>
        <v>23129.54</v>
      </c>
      <c r="C6" s="12" t="n">
        <f aca="false">SUMIFS('Transaction Sample'!$I$2:$I$501,'Transaction Sample'!$D$2:$D$501,$A6,'Transaction Sample'!$E$2:$E$501,C$4)</f>
        <v>5810.01</v>
      </c>
      <c r="D6" s="12" t="n">
        <f aca="false">SUMIFS('Transaction Sample'!$I$2:$I$501,'Transaction Sample'!$D$2:$D$501,$A6,'Transaction Sample'!$E$2:$E$501,D$4)</f>
        <v>3655.66</v>
      </c>
      <c r="E6" s="12" t="n">
        <f aca="false">SUMIFS('Transaction Sample'!$I$2:$I$501,'Transaction Sample'!$D$2:$D$501,$A6,'Transaction Sample'!$E$2:$E$501,E$4)</f>
        <v>2563.09</v>
      </c>
      <c r="F6" s="12" t="n">
        <f aca="false">SUMIFS('Transaction Sample'!$I$2:$I$501,'Transaction Sample'!$D$2:$D$501,$A6,'Transaction Sample'!$E$2:$E$501,F$4)</f>
        <v>1669.96</v>
      </c>
      <c r="G6" s="12" t="n">
        <f aca="false">SUMIFS('Transaction Sample'!$I$2:$I$501,'Transaction Sample'!$D$2:$D$501,$A6,'Transaction Sample'!$E$2:$E$501,G$4)</f>
        <v>4943.76</v>
      </c>
      <c r="H6" s="13" t="n">
        <f aca="false">SUM(B6:G6)</f>
        <v>41772.02</v>
      </c>
    </row>
    <row r="7" customFormat="false" ht="15" hidden="false" customHeight="false" outlineLevel="0" collapsed="false">
      <c r="A7" s="11" t="s">
        <v>54</v>
      </c>
      <c r="B7" s="12" t="n">
        <f aca="false">SUMIFS('Transaction Sample'!$I$2:$I$501,'Transaction Sample'!$D$2:$D$501,$A7,'Transaction Sample'!$E$2:$E$501,B$4)</f>
        <v>41614.62</v>
      </c>
      <c r="C7" s="12" t="n">
        <f aca="false">SUMIFS('Transaction Sample'!$I$2:$I$501,'Transaction Sample'!$D$2:$D$501,$A7,'Transaction Sample'!$E$2:$E$501,C$4)</f>
        <v>13053.26</v>
      </c>
      <c r="D7" s="12" t="n">
        <f aca="false">SUMIFS('Transaction Sample'!$I$2:$I$501,'Transaction Sample'!$D$2:$D$501,$A7,'Transaction Sample'!$E$2:$E$501,D$4)</f>
        <v>5663.48</v>
      </c>
      <c r="E7" s="12" t="n">
        <f aca="false">SUMIFS('Transaction Sample'!$I$2:$I$501,'Transaction Sample'!$D$2:$D$501,$A7,'Transaction Sample'!$E$2:$E$501,E$4)</f>
        <v>3011.57</v>
      </c>
      <c r="F7" s="12" t="n">
        <f aca="false">SUMIFS('Transaction Sample'!$I$2:$I$501,'Transaction Sample'!$D$2:$D$501,$A7,'Transaction Sample'!$E$2:$E$501,F$4)</f>
        <v>3637.6</v>
      </c>
      <c r="G7" s="12" t="n">
        <f aca="false">SUMIFS('Transaction Sample'!$I$2:$I$501,'Transaction Sample'!$D$2:$D$501,$A7,'Transaction Sample'!$E$2:$E$501,G$4)</f>
        <v>8934.08</v>
      </c>
      <c r="H7" s="13" t="n">
        <f aca="false">SUM(B7:G7)</f>
        <v>75914.61</v>
      </c>
    </row>
    <row r="8" customFormat="false" ht="15" hidden="false" customHeight="false" outlineLevel="0" collapsed="false">
      <c r="A8" s="11" t="s">
        <v>25</v>
      </c>
      <c r="B8" s="12" t="n">
        <f aca="false">SUMIFS('Transaction Sample'!$I$2:$I$501,'Transaction Sample'!$D$2:$D$501,$A8,'Transaction Sample'!$E$2:$E$501,B$4)</f>
        <v>28060.14</v>
      </c>
      <c r="C8" s="12" t="n">
        <f aca="false">SUMIFS('Transaction Sample'!$I$2:$I$501,'Transaction Sample'!$D$2:$D$501,$A8,'Transaction Sample'!$E$2:$E$501,C$4)</f>
        <v>6564.02</v>
      </c>
      <c r="D8" s="12" t="n">
        <f aca="false">SUMIFS('Transaction Sample'!$I$2:$I$501,'Transaction Sample'!$D$2:$D$501,$A8,'Transaction Sample'!$E$2:$E$501,D$4)</f>
        <v>8073.17</v>
      </c>
      <c r="E8" s="12" t="n">
        <f aca="false">SUMIFS('Transaction Sample'!$I$2:$I$501,'Transaction Sample'!$D$2:$D$501,$A8,'Transaction Sample'!$E$2:$E$501,E$4)</f>
        <v>2991.62</v>
      </c>
      <c r="F8" s="12" t="n">
        <f aca="false">SUMIFS('Transaction Sample'!$I$2:$I$501,'Transaction Sample'!$D$2:$D$501,$A8,'Transaction Sample'!$E$2:$E$501,F$4)</f>
        <v>3684.22</v>
      </c>
      <c r="G8" s="12" t="n">
        <f aca="false">SUMIFS('Transaction Sample'!$I$2:$I$501,'Transaction Sample'!$D$2:$D$501,$A8,'Transaction Sample'!$E$2:$E$501,G$4)</f>
        <v>8131.05</v>
      </c>
      <c r="H8" s="13" t="n">
        <f aca="false">SUM(B8:G8)</f>
        <v>57504.22</v>
      </c>
    </row>
    <row r="9" customFormat="false" ht="15" hidden="false" customHeight="false" outlineLevel="0" collapsed="false">
      <c r="A9" s="11" t="s">
        <v>33</v>
      </c>
      <c r="B9" s="12" t="n">
        <f aca="false">SUMIFS('Transaction Sample'!$I$2:$I$501,'Transaction Sample'!$D$2:$D$501,$A9,'Transaction Sample'!$E$2:$E$501,B$4)</f>
        <v>19690.87</v>
      </c>
      <c r="C9" s="12" t="n">
        <f aca="false">SUMIFS('Transaction Sample'!$I$2:$I$501,'Transaction Sample'!$D$2:$D$501,$A9,'Transaction Sample'!$E$2:$E$501,C$4)</f>
        <v>8351.37</v>
      </c>
      <c r="D9" s="12" t="n">
        <f aca="false">SUMIFS('Transaction Sample'!$I$2:$I$501,'Transaction Sample'!$D$2:$D$501,$A9,'Transaction Sample'!$E$2:$E$501,D$4)</f>
        <v>5200.35</v>
      </c>
      <c r="E9" s="12" t="n">
        <f aca="false">SUMIFS('Transaction Sample'!$I$2:$I$501,'Transaction Sample'!$D$2:$D$501,$A9,'Transaction Sample'!$E$2:$E$501,E$4)</f>
        <v>2977.9</v>
      </c>
      <c r="F9" s="12" t="n">
        <f aca="false">SUMIFS('Transaction Sample'!$I$2:$I$501,'Transaction Sample'!$D$2:$D$501,$A9,'Transaction Sample'!$E$2:$E$501,F$4)</f>
        <v>2835.67</v>
      </c>
      <c r="G9" s="12" t="n">
        <f aca="false">SUMIFS('Transaction Sample'!$I$2:$I$501,'Transaction Sample'!$D$2:$D$501,$A9,'Transaction Sample'!$E$2:$E$501,G$4)</f>
        <v>3211.5</v>
      </c>
      <c r="H9" s="13" t="n">
        <f aca="false">SUM(B9:G9)</f>
        <v>42267.66</v>
      </c>
    </row>
    <row r="10" customFormat="false" ht="15" hidden="false" customHeight="false" outlineLevel="0" collapsed="false">
      <c r="A10" s="14" t="s">
        <v>637</v>
      </c>
      <c r="B10" s="13" t="n">
        <f aca="false">SUM(B5:B9)</f>
        <v>137545.45</v>
      </c>
      <c r="C10" s="13" t="n">
        <f aca="false">SUM(C5:C9)</f>
        <v>39611.91</v>
      </c>
      <c r="D10" s="13" t="n">
        <f aca="false">SUM(D5:D9)</f>
        <v>31716.02</v>
      </c>
      <c r="E10" s="13" t="n">
        <f aca="false">SUM(E5:E9)</f>
        <v>14304.06</v>
      </c>
      <c r="F10" s="13" t="n">
        <f aca="false">SUM(F5:F9)</f>
        <v>14438.88</v>
      </c>
      <c r="G10" s="13" t="n">
        <f aca="false">SUM(G5:G9)</f>
        <v>31429.07</v>
      </c>
      <c r="H10" s="13" t="n">
        <f aca="false">SUM(H5:H9)</f>
        <v>269045.39</v>
      </c>
    </row>
  </sheetData>
  <mergeCells count="1">
    <mergeCell ref="A2:H2"/>
  </mergeCells>
  <conditionalFormatting sqref="B5:G9">
    <cfRule type="colorScale" priority="2">
      <colorScale>
        <cfvo type="min" val="0"/>
        <cfvo type="max" val="0"/>
        <color rgb="FFFFF2CC"/>
        <color rgb="FF1F3B5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9.7" hidden="false" customHeight="false" outlineLevel="0" collapsed="false">
      <c r="A1" s="8" t="s">
        <v>638</v>
      </c>
    </row>
    <row r="3" customFormat="false" ht="15" hidden="false" customHeight="false" outlineLevel="0" collapsed="false">
      <c r="A3" s="7" t="s">
        <v>639</v>
      </c>
      <c r="B3" s="7" t="s">
        <v>640</v>
      </c>
      <c r="C3" s="7" t="s">
        <v>641</v>
      </c>
      <c r="D3" s="7" t="s">
        <v>642</v>
      </c>
    </row>
    <row r="4" customFormat="false" ht="15" hidden="false" customHeight="false" outlineLevel="0" collapsed="false">
      <c r="A4" s="11" t="s">
        <v>82</v>
      </c>
      <c r="B4" s="15" t="n">
        <f aca="false">SUMIFS('Transaction Sample'!$I$2:$I$501,'Transaction Sample'!$L$2:$L$501,A4)</f>
        <v>1882.97</v>
      </c>
      <c r="C4" s="15" t="n">
        <f aca="false">SUMIFS('Transaction Sample'!$K$2:$K$501,'Transaction Sample'!$L$2:$L$501,A4)</f>
        <v>812.53</v>
      </c>
      <c r="D4" s="16" t="n">
        <f aca="false">C4/B4</f>
        <v>0.431515106454165</v>
      </c>
    </row>
    <row r="5" customFormat="false" ht="15" hidden="false" customHeight="false" outlineLevel="0" collapsed="false">
      <c r="A5" s="11" t="s">
        <v>277</v>
      </c>
      <c r="B5" s="15" t="n">
        <f aca="false">SUMIFS('Transaction Sample'!$I$2:$I$501,'Transaction Sample'!$L$2:$L$501,A5)</f>
        <v>9249.79</v>
      </c>
      <c r="C5" s="15" t="n">
        <f aca="false">SUMIFS('Transaction Sample'!$K$2:$K$501,'Transaction Sample'!$L$2:$L$501,A5)</f>
        <v>3945.65</v>
      </c>
      <c r="D5" s="16" t="n">
        <f aca="false">C5/B5</f>
        <v>0.426566440967849</v>
      </c>
    </row>
    <row r="6" customFormat="false" ht="15" hidden="false" customHeight="false" outlineLevel="0" collapsed="false">
      <c r="A6" s="11" t="s">
        <v>61</v>
      </c>
      <c r="B6" s="15" t="n">
        <f aca="false">SUMIFS('Transaction Sample'!$I$2:$I$501,'Transaction Sample'!$L$2:$L$501,A6)</f>
        <v>7043.7</v>
      </c>
      <c r="C6" s="15" t="n">
        <f aca="false">SUMIFS('Transaction Sample'!$K$2:$K$501,'Transaction Sample'!$L$2:$L$501,A6)</f>
        <v>2993.63</v>
      </c>
      <c r="D6" s="16" t="n">
        <f aca="false">C6/B6</f>
        <v>0.425008163323253</v>
      </c>
    </row>
    <row r="7" customFormat="false" ht="15" hidden="false" customHeight="false" outlineLevel="0" collapsed="false">
      <c r="A7" s="11" t="s">
        <v>102</v>
      </c>
      <c r="B7" s="15" t="n">
        <f aca="false">SUMIFS('Transaction Sample'!$I$2:$I$501,'Transaction Sample'!$L$2:$L$501,A7)</f>
        <v>4197.16</v>
      </c>
      <c r="C7" s="15" t="n">
        <f aca="false">SUMIFS('Transaction Sample'!$K$2:$K$501,'Transaction Sample'!$L$2:$L$501,A7)</f>
        <v>1774.24</v>
      </c>
      <c r="D7" s="16" t="n">
        <f aca="false">C7/B7</f>
        <v>0.422723937138446</v>
      </c>
    </row>
    <row r="8" customFormat="false" ht="15" hidden="false" customHeight="false" outlineLevel="0" collapsed="false">
      <c r="A8" s="11" t="s">
        <v>262</v>
      </c>
      <c r="B8" s="15" t="n">
        <f aca="false">SUMIFS('Transaction Sample'!$I$2:$I$501,'Transaction Sample'!$L$2:$L$501,A8)</f>
        <v>7671.86</v>
      </c>
      <c r="C8" s="15" t="n">
        <f aca="false">SUMIFS('Transaction Sample'!$K$2:$K$501,'Transaction Sample'!$L$2:$L$501,A8)</f>
        <v>3268.74</v>
      </c>
      <c r="D8" s="16" t="n">
        <f aca="false">C8/B8</f>
        <v>0.426068776020418</v>
      </c>
    </row>
    <row r="9" customFormat="false" ht="15" hidden="false" customHeight="false" outlineLevel="0" collapsed="false">
      <c r="A9" s="11" t="s">
        <v>67</v>
      </c>
      <c r="B9" s="15" t="n">
        <f aca="false">SUMIFS('Transaction Sample'!$I$2:$I$501,'Transaction Sample'!$L$2:$L$501,A9)</f>
        <v>5012.91</v>
      </c>
      <c r="C9" s="15" t="n">
        <f aca="false">SUMIFS('Transaction Sample'!$K$2:$K$501,'Transaction Sample'!$L$2:$L$501,A9)</f>
        <v>2185.87</v>
      </c>
      <c r="D9" s="16" t="n">
        <f aca="false">C9/B9</f>
        <v>0.436048123744492</v>
      </c>
    </row>
    <row r="10" customFormat="false" ht="15" hidden="false" customHeight="false" outlineLevel="0" collapsed="false">
      <c r="A10" s="11" t="s">
        <v>252</v>
      </c>
      <c r="B10" s="15" t="n">
        <f aca="false">SUMIFS('Transaction Sample'!$I$2:$I$501,'Transaction Sample'!$L$2:$L$501,A10)</f>
        <v>5697.8</v>
      </c>
      <c r="C10" s="15" t="n">
        <f aca="false">SUMIFS('Transaction Sample'!$K$2:$K$501,'Transaction Sample'!$L$2:$L$501,A10)</f>
        <v>2437.51</v>
      </c>
      <c r="D10" s="16" t="n">
        <f aca="false">C10/B10</f>
        <v>0.427798448523992</v>
      </c>
    </row>
    <row r="11" customFormat="false" ht="15" hidden="false" customHeight="false" outlineLevel="0" collapsed="false">
      <c r="A11" s="11" t="s">
        <v>222</v>
      </c>
      <c r="B11" s="15" t="n">
        <f aca="false">SUMIFS('Transaction Sample'!$I$2:$I$501,'Transaction Sample'!$L$2:$L$501,A11)</f>
        <v>8350.35</v>
      </c>
      <c r="C11" s="15" t="n">
        <f aca="false">SUMIFS('Transaction Sample'!$K$2:$K$501,'Transaction Sample'!$L$2:$L$501,A11)</f>
        <v>3473.12</v>
      </c>
      <c r="D11" s="16" t="n">
        <f aca="false">C11/B11</f>
        <v>0.415925080984629</v>
      </c>
    </row>
    <row r="12" customFormat="false" ht="15" hidden="false" customHeight="false" outlineLevel="0" collapsed="false">
      <c r="A12" s="11" t="s">
        <v>148</v>
      </c>
      <c r="B12" s="15" t="n">
        <f aca="false">SUMIFS('Transaction Sample'!$I$2:$I$501,'Transaction Sample'!$L$2:$L$501,A12)</f>
        <v>5126.72</v>
      </c>
      <c r="C12" s="15" t="n">
        <f aca="false">SUMIFS('Transaction Sample'!$K$2:$K$501,'Transaction Sample'!$L$2:$L$501,A12)</f>
        <v>2174.89</v>
      </c>
      <c r="D12" s="16" t="n">
        <f aca="false">C12/B12</f>
        <v>0.424226405967168</v>
      </c>
    </row>
    <row r="13" customFormat="false" ht="15" hidden="false" customHeight="false" outlineLevel="0" collapsed="false">
      <c r="A13" s="11" t="s">
        <v>154</v>
      </c>
      <c r="B13" s="15" t="n">
        <f aca="false">SUMIFS('Transaction Sample'!$I$2:$I$501,'Transaction Sample'!$L$2:$L$501,A13)</f>
        <v>4538.96</v>
      </c>
      <c r="C13" s="15" t="n">
        <f aca="false">SUMIFS('Transaction Sample'!$K$2:$K$501,'Transaction Sample'!$L$2:$L$501,A13)</f>
        <v>1946.26</v>
      </c>
      <c r="D13" s="16" t="n">
        <f aca="false">C13/B13</f>
        <v>0.428789854944745</v>
      </c>
    </row>
    <row r="14" customFormat="false" ht="15" hidden="false" customHeight="false" outlineLevel="0" collapsed="false">
      <c r="A14" s="11" t="s">
        <v>39</v>
      </c>
      <c r="B14" s="15" t="n">
        <f aca="false">SUMIFS('Transaction Sample'!$I$2:$I$501,'Transaction Sample'!$L$2:$L$501,A14)</f>
        <v>18054.43</v>
      </c>
      <c r="C14" s="15" t="n">
        <f aca="false">SUMIFS('Transaction Sample'!$K$2:$K$501,'Transaction Sample'!$L$2:$L$501,A14)</f>
        <v>7740.3</v>
      </c>
      <c r="D14" s="16" t="n">
        <f aca="false">C14/B14</f>
        <v>0.428720264223241</v>
      </c>
    </row>
    <row r="15" customFormat="false" ht="15" hidden="false" customHeight="false" outlineLevel="0" collapsed="false">
      <c r="A15" s="11" t="s">
        <v>130</v>
      </c>
      <c r="B15" s="15" t="n">
        <f aca="false">SUMIFS('Transaction Sample'!$I$2:$I$501,'Transaction Sample'!$L$2:$L$501,A15)</f>
        <v>15890.67</v>
      </c>
      <c r="C15" s="15" t="n">
        <f aca="false">SUMIFS('Transaction Sample'!$K$2:$K$501,'Transaction Sample'!$L$2:$L$501,A15)</f>
        <v>6805.31</v>
      </c>
      <c r="D15" s="16" t="n">
        <f aca="false">C15/B15</f>
        <v>0.42825821692855</v>
      </c>
    </row>
    <row r="16" customFormat="false" ht="15" hidden="false" customHeight="false" outlineLevel="0" collapsed="false">
      <c r="A16" s="11" t="s">
        <v>73</v>
      </c>
      <c r="B16" s="15" t="n">
        <f aca="false">SUMIFS('Transaction Sample'!$I$2:$I$501,'Transaction Sample'!$L$2:$L$501,A16)</f>
        <v>6076.54</v>
      </c>
      <c r="C16" s="15" t="n">
        <f aca="false">SUMIFS('Transaction Sample'!$K$2:$K$501,'Transaction Sample'!$L$2:$L$501,A16)</f>
        <v>2634.14</v>
      </c>
      <c r="D16" s="16" t="n">
        <f aca="false">C16/B16</f>
        <v>0.433493402495499</v>
      </c>
    </row>
    <row r="17" customFormat="false" ht="15" hidden="false" customHeight="false" outlineLevel="0" collapsed="false">
      <c r="A17" s="11" t="s">
        <v>243</v>
      </c>
      <c r="B17" s="15" t="n">
        <f aca="false">SUMIFS('Transaction Sample'!$I$2:$I$501,'Transaction Sample'!$L$2:$L$501,A17)</f>
        <v>6673.38</v>
      </c>
      <c r="C17" s="15" t="n">
        <f aca="false">SUMIFS('Transaction Sample'!$K$2:$K$501,'Transaction Sample'!$L$2:$L$501,A17)</f>
        <v>2858.56</v>
      </c>
      <c r="D17" s="16" t="n">
        <f aca="false">C17/B17</f>
        <v>0.428352648882575</v>
      </c>
    </row>
    <row r="18" customFormat="false" ht="15" hidden="false" customHeight="false" outlineLevel="0" collapsed="false">
      <c r="A18" s="11" t="s">
        <v>190</v>
      </c>
      <c r="B18" s="15" t="n">
        <f aca="false">SUMIFS('Transaction Sample'!$I$2:$I$501,'Transaction Sample'!$L$2:$L$501,A18)</f>
        <v>5838.49</v>
      </c>
      <c r="C18" s="15" t="n">
        <f aca="false">SUMIFS('Transaction Sample'!$K$2:$K$501,'Transaction Sample'!$L$2:$L$501,A18)</f>
        <v>2488</v>
      </c>
      <c r="D18" s="16" t="n">
        <f aca="false">C18/B18</f>
        <v>0.426137580093483</v>
      </c>
    </row>
    <row r="19" customFormat="false" ht="15" hidden="false" customHeight="false" outlineLevel="0" collapsed="false">
      <c r="A19" s="11" t="s">
        <v>35</v>
      </c>
      <c r="B19" s="15" t="n">
        <f aca="false">SUMIFS('Transaction Sample'!$I$2:$I$501,'Transaction Sample'!$L$2:$L$501,A19)</f>
        <v>5793.94</v>
      </c>
      <c r="C19" s="15" t="n">
        <f aca="false">SUMIFS('Transaction Sample'!$K$2:$K$501,'Transaction Sample'!$L$2:$L$501,A19)</f>
        <v>2473.92</v>
      </c>
      <c r="D19" s="16" t="n">
        <f aca="false">C19/B19</f>
        <v>0.426984055754806</v>
      </c>
    </row>
    <row r="20" customFormat="false" ht="15" hidden="false" customHeight="false" outlineLevel="0" collapsed="false">
      <c r="A20" s="11" t="s">
        <v>97</v>
      </c>
      <c r="B20" s="15" t="n">
        <f aca="false">SUMIFS('Transaction Sample'!$I$2:$I$501,'Transaction Sample'!$L$2:$L$501,A20)</f>
        <v>6273.75</v>
      </c>
      <c r="C20" s="15" t="n">
        <f aca="false">SUMIFS('Transaction Sample'!$K$2:$K$501,'Transaction Sample'!$L$2:$L$501,A20)</f>
        <v>2627.57</v>
      </c>
      <c r="D20" s="16" t="n">
        <f aca="false">C20/B20</f>
        <v>0.418819685196254</v>
      </c>
    </row>
    <row r="21" customFormat="false" ht="15" hidden="false" customHeight="false" outlineLevel="0" collapsed="false">
      <c r="A21" s="11" t="s">
        <v>132</v>
      </c>
      <c r="B21" s="15" t="n">
        <f aca="false">SUMIFS('Transaction Sample'!$I$2:$I$501,'Transaction Sample'!$L$2:$L$501,A21)</f>
        <v>6983.96</v>
      </c>
      <c r="C21" s="15" t="n">
        <f aca="false">SUMIFS('Transaction Sample'!$K$2:$K$501,'Transaction Sample'!$L$2:$L$501,A21)</f>
        <v>2935.52</v>
      </c>
      <c r="D21" s="16" t="n">
        <f aca="false">C21/B21</f>
        <v>0.420323140453267</v>
      </c>
    </row>
    <row r="22" customFormat="false" ht="15" hidden="false" customHeight="false" outlineLevel="0" collapsed="false">
      <c r="A22" s="11" t="s">
        <v>31</v>
      </c>
      <c r="B22" s="15" t="n">
        <f aca="false">SUMIFS('Transaction Sample'!$I$2:$I$501,'Transaction Sample'!$L$2:$L$501,A22)</f>
        <v>3064.66</v>
      </c>
      <c r="C22" s="15" t="n">
        <f aca="false">SUMIFS('Transaction Sample'!$K$2:$K$501,'Transaction Sample'!$L$2:$L$501,A22)</f>
        <v>1295.87</v>
      </c>
      <c r="D22" s="16" t="n">
        <f aca="false">C22/B22</f>
        <v>0.422842990739593</v>
      </c>
    </row>
    <row r="23" customFormat="false" ht="15" hidden="false" customHeight="false" outlineLevel="0" collapsed="false">
      <c r="A23" s="11" t="s">
        <v>79</v>
      </c>
      <c r="B23" s="15" t="n">
        <f aca="false">SUMIFS('Transaction Sample'!$I$2:$I$501,'Transaction Sample'!$L$2:$L$501,A23)</f>
        <v>3427.52</v>
      </c>
      <c r="C23" s="15" t="n">
        <f aca="false">SUMIFS('Transaction Sample'!$K$2:$K$501,'Transaction Sample'!$L$2:$L$501,A23)</f>
        <v>1405.78</v>
      </c>
      <c r="D23" s="16" t="n">
        <f aca="false">C23/B23</f>
        <v>0.410144944449631</v>
      </c>
    </row>
    <row r="24" customFormat="false" ht="15" hidden="false" customHeight="false" outlineLevel="0" collapsed="false">
      <c r="A24" s="11" t="s">
        <v>348</v>
      </c>
      <c r="B24" s="15" t="n">
        <f aca="false">SUMIFS('Transaction Sample'!$I$2:$I$501,'Transaction Sample'!$L$2:$L$501,A24)</f>
        <v>2613.34</v>
      </c>
      <c r="C24" s="15" t="n">
        <f aca="false">SUMIFS('Transaction Sample'!$K$2:$K$501,'Transaction Sample'!$L$2:$L$501,A24)</f>
        <v>1142.09</v>
      </c>
      <c r="D24" s="16" t="n">
        <f aca="false">C24/B24</f>
        <v>0.43702311983898</v>
      </c>
    </row>
    <row r="25" customFormat="false" ht="15" hidden="false" customHeight="false" outlineLevel="0" collapsed="false">
      <c r="A25" s="11" t="s">
        <v>198</v>
      </c>
      <c r="B25" s="15" t="n">
        <f aca="false">SUMIFS('Transaction Sample'!$I$2:$I$501,'Transaction Sample'!$L$2:$L$501,A25)</f>
        <v>9485.7</v>
      </c>
      <c r="C25" s="15" t="n">
        <f aca="false">SUMIFS('Transaction Sample'!$K$2:$K$501,'Transaction Sample'!$L$2:$L$501,A25)</f>
        <v>3992.45</v>
      </c>
      <c r="D25" s="16" t="n">
        <f aca="false">C25/B25</f>
        <v>0.420891447125673</v>
      </c>
    </row>
    <row r="26" customFormat="false" ht="15" hidden="false" customHeight="false" outlineLevel="0" collapsed="false">
      <c r="A26" s="11" t="s">
        <v>23</v>
      </c>
      <c r="B26" s="15" t="n">
        <f aca="false">SUMIFS('Transaction Sample'!$I$2:$I$501,'Transaction Sample'!$L$2:$L$501,A26)</f>
        <v>20228.82</v>
      </c>
      <c r="C26" s="15" t="n">
        <f aca="false">SUMIFS('Transaction Sample'!$K$2:$K$501,'Transaction Sample'!$L$2:$L$501,A26)</f>
        <v>8527.1</v>
      </c>
      <c r="D26" s="16" t="n">
        <f aca="false">C26/B26</f>
        <v>0.421532249533092</v>
      </c>
    </row>
    <row r="27" customFormat="false" ht="15" hidden="false" customHeight="false" outlineLevel="0" collapsed="false">
      <c r="A27" s="11" t="s">
        <v>76</v>
      </c>
      <c r="B27" s="15" t="n">
        <f aca="false">SUMIFS('Transaction Sample'!$I$2:$I$501,'Transaction Sample'!$L$2:$L$501,A27)</f>
        <v>8567.55</v>
      </c>
      <c r="C27" s="15" t="n">
        <f aca="false">SUMIFS('Transaction Sample'!$K$2:$K$501,'Transaction Sample'!$L$2:$L$501,A27)</f>
        <v>3617.52</v>
      </c>
      <c r="D27" s="16" t="n">
        <f aca="false">C27/B27</f>
        <v>0.422235061365268</v>
      </c>
    </row>
    <row r="28" customFormat="false" ht="15" hidden="false" customHeight="false" outlineLevel="0" collapsed="false">
      <c r="A28" s="11" t="s">
        <v>107</v>
      </c>
      <c r="B28" s="15" t="n">
        <f aca="false">SUMIFS('Transaction Sample'!$I$2:$I$501,'Transaction Sample'!$L$2:$L$501,A28)</f>
        <v>5103.16</v>
      </c>
      <c r="C28" s="15" t="n">
        <f aca="false">SUMIFS('Transaction Sample'!$K$2:$K$501,'Transaction Sample'!$L$2:$L$501,A28)</f>
        <v>2204.56</v>
      </c>
      <c r="D28" s="16" t="n">
        <f aca="false">C28/B28</f>
        <v>0.431998996700084</v>
      </c>
    </row>
    <row r="29" customFormat="false" ht="15" hidden="false" customHeight="false" outlineLevel="0" collapsed="false">
      <c r="A29" s="11" t="s">
        <v>127</v>
      </c>
      <c r="B29" s="15" t="n">
        <f aca="false">SUMIFS('Transaction Sample'!$I$2:$I$501,'Transaction Sample'!$L$2:$L$501,A29)</f>
        <v>6567.73</v>
      </c>
      <c r="C29" s="15" t="n">
        <f aca="false">SUMIFS('Transaction Sample'!$K$2:$K$501,'Transaction Sample'!$L$2:$L$501,A29)</f>
        <v>2792.08</v>
      </c>
      <c r="D29" s="16" t="n">
        <f aca="false">C29/B29</f>
        <v>0.425121008324033</v>
      </c>
    </row>
    <row r="30" customFormat="false" ht="15" hidden="false" customHeight="false" outlineLevel="0" collapsed="false">
      <c r="A30" s="11" t="s">
        <v>42</v>
      </c>
      <c r="B30" s="15" t="n">
        <f aca="false">SUMIFS('Transaction Sample'!$I$2:$I$501,'Transaction Sample'!$L$2:$L$501,A30)</f>
        <v>4426.07</v>
      </c>
      <c r="C30" s="15" t="n">
        <f aca="false">SUMIFS('Transaction Sample'!$K$2:$K$501,'Transaction Sample'!$L$2:$L$501,A30)</f>
        <v>1904.4</v>
      </c>
      <c r="D30" s="16" t="n">
        <f aca="false">C30/B30</f>
        <v>0.430268838947418</v>
      </c>
    </row>
    <row r="31" customFormat="false" ht="15" hidden="false" customHeight="false" outlineLevel="0" collapsed="false">
      <c r="A31" s="11" t="s">
        <v>88</v>
      </c>
      <c r="B31" s="15" t="n">
        <f aca="false">SUMIFS('Transaction Sample'!$I$2:$I$501,'Transaction Sample'!$L$2:$L$501,A31)</f>
        <v>5628.13</v>
      </c>
      <c r="C31" s="15" t="n">
        <f aca="false">SUMIFS('Transaction Sample'!$K$2:$K$501,'Transaction Sample'!$L$2:$L$501,A31)</f>
        <v>2407.32</v>
      </c>
      <c r="D31" s="16" t="n">
        <f aca="false">C31/B31</f>
        <v>0.427729992022217</v>
      </c>
    </row>
    <row r="32" customFormat="false" ht="15" hidden="false" customHeight="false" outlineLevel="0" collapsed="false">
      <c r="A32" s="11" t="s">
        <v>52</v>
      </c>
      <c r="B32" s="15" t="n">
        <f aca="false">SUMIFS('Transaction Sample'!$I$2:$I$501,'Transaction Sample'!$L$2:$L$501,A32)</f>
        <v>7909.49</v>
      </c>
      <c r="C32" s="15" t="n">
        <f aca="false">SUMIFS('Transaction Sample'!$K$2:$K$501,'Transaction Sample'!$L$2:$L$501,A32)</f>
        <v>3423.16</v>
      </c>
      <c r="D32" s="16" t="n">
        <f aca="false">C32/B32</f>
        <v>0.432791494773999</v>
      </c>
    </row>
    <row r="33" customFormat="false" ht="15" hidden="false" customHeight="false" outlineLevel="0" collapsed="false">
      <c r="A33" s="11" t="s">
        <v>214</v>
      </c>
      <c r="B33" s="15" t="n">
        <f aca="false">SUMIFS('Transaction Sample'!$I$2:$I$501,'Transaction Sample'!$L$2:$L$501,A33)</f>
        <v>5511.46</v>
      </c>
      <c r="C33" s="15" t="n">
        <f aca="false">SUMIFS('Transaction Sample'!$K$2:$K$501,'Transaction Sample'!$L$2:$L$501,A33)</f>
        <v>2298.07</v>
      </c>
      <c r="D33" s="16" t="n">
        <f aca="false">C33/B33</f>
        <v>0.416962111672769</v>
      </c>
    </row>
    <row r="34" customFormat="false" ht="15" hidden="false" customHeight="false" outlineLevel="0" collapsed="false">
      <c r="A34" s="11" t="s">
        <v>290</v>
      </c>
      <c r="B34" s="15" t="n">
        <f aca="false">SUMIFS('Transaction Sample'!$I$2:$I$501,'Transaction Sample'!$L$2:$L$501,A34)</f>
        <v>2412.53</v>
      </c>
      <c r="C34" s="15" t="n">
        <f aca="false">SUMIFS('Transaction Sample'!$K$2:$K$501,'Transaction Sample'!$L$2:$L$501,A34)</f>
        <v>1008.88</v>
      </c>
      <c r="D34" s="16" t="n">
        <f aca="false">C34/B34</f>
        <v>0.418183400828176</v>
      </c>
    </row>
    <row r="35" customFormat="false" ht="15" hidden="false" customHeight="false" outlineLevel="0" collapsed="false">
      <c r="A35" s="11" t="s">
        <v>57</v>
      </c>
      <c r="B35" s="15" t="n">
        <f aca="false">SUMIFS('Transaction Sample'!$I$2:$I$501,'Transaction Sample'!$L$2:$L$501,A35)</f>
        <v>8510.25</v>
      </c>
      <c r="C35" s="15" t="n">
        <f aca="false">SUMIFS('Transaction Sample'!$K$2:$K$501,'Transaction Sample'!$L$2:$L$501,A35)</f>
        <v>3620.25</v>
      </c>
      <c r="D35" s="16" t="n">
        <f aca="false">C35/B35</f>
        <v>0.425398783819512</v>
      </c>
    </row>
    <row r="36" customFormat="false" ht="15" hidden="false" customHeight="false" outlineLevel="0" collapsed="false">
      <c r="A36" s="11" t="s">
        <v>45</v>
      </c>
      <c r="B36" s="15" t="n">
        <f aca="false">SUMIFS('Transaction Sample'!$I$2:$I$501,'Transaction Sample'!$L$2:$L$501,A36)</f>
        <v>4660.04</v>
      </c>
      <c r="C36" s="15" t="n">
        <f aca="false">SUMIFS('Transaction Sample'!$K$2:$K$501,'Transaction Sample'!$L$2:$L$501,A36)</f>
        <v>1994.63</v>
      </c>
      <c r="D36" s="16" t="n">
        <f aca="false">C36/B36</f>
        <v>0.428028514776697</v>
      </c>
    </row>
    <row r="37" customFormat="false" ht="15" hidden="false" customHeight="false" outlineLevel="0" collapsed="false">
      <c r="A37" s="11" t="s">
        <v>27</v>
      </c>
      <c r="B37" s="15" t="n">
        <f aca="false">SUMIFS('Transaction Sample'!$I$2:$I$501,'Transaction Sample'!$L$2:$L$501,A37)</f>
        <v>6502.36</v>
      </c>
      <c r="C37" s="15" t="n">
        <f aca="false">SUMIFS('Transaction Sample'!$K$2:$K$501,'Transaction Sample'!$L$2:$L$501,A37)</f>
        <v>2747.65</v>
      </c>
      <c r="D37" s="16" t="n">
        <f aca="false">C37/B37</f>
        <v>0.422561962118369</v>
      </c>
    </row>
    <row r="38" customFormat="false" ht="15" hidden="false" customHeight="false" outlineLevel="0" collapsed="false">
      <c r="A38" s="11" t="s">
        <v>70</v>
      </c>
      <c r="B38" s="15" t="n">
        <f aca="false">SUMIFS('Transaction Sample'!$I$2:$I$501,'Transaction Sample'!$L$2:$L$501,A38)</f>
        <v>10724.4</v>
      </c>
      <c r="C38" s="15" t="n">
        <f aca="false">SUMIFS('Transaction Sample'!$K$2:$K$501,'Transaction Sample'!$L$2:$L$501,A38)</f>
        <v>4667.3</v>
      </c>
      <c r="D38" s="16" t="n">
        <f aca="false">C38/B38</f>
        <v>0.435203834247137</v>
      </c>
    </row>
    <row r="39" customFormat="false" ht="15" hidden="false" customHeight="false" outlineLevel="0" collapsed="false">
      <c r="A39" s="11" t="s">
        <v>64</v>
      </c>
      <c r="B39" s="15" t="n">
        <f aca="false">SUMIFS('Transaction Sample'!$I$2:$I$501,'Transaction Sample'!$L$2:$L$501,A39)</f>
        <v>23344.8</v>
      </c>
      <c r="C39" s="15" t="n">
        <f aca="false">SUMIFS('Transaction Sample'!$K$2:$K$501,'Transaction Sample'!$L$2:$L$501,A39)</f>
        <v>9979.89</v>
      </c>
      <c r="D39" s="16" t="n">
        <f aca="false">C39/B39</f>
        <v>0.427499485966896</v>
      </c>
    </row>
  </sheetData>
  <conditionalFormatting sqref="B4:B39">
    <cfRule type="dataBar" priority="2">
      <dataBar showValue="1" minLength="10" maxLength="90">
        <cfvo type="min" val="0"/>
        <cfvo type="max" val="0"/>
        <color rgb="FF2A9D8F"/>
      </dataBar>
      <extLst>
        <ext xmlns:x14="http://schemas.microsoft.com/office/spreadsheetml/2009/9/main" uri="{B025F937-C7B1-47D3-B67F-A62EFF666E3E}">
          <x14:id>{F7C08378-CC85-4A72-AB67-3E17927B2915}</x14:id>
        </ext>
      </extLst>
    </cfRule>
  </conditionalFormatting>
  <conditionalFormatting sqref="D4:D39">
    <cfRule type="colorScale" priority="3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08378-CC85-4A72-AB67-3E17927B2915}">
            <x14:dataBar minLength="10" maxLength="90" axisPosition="none" gradient="true">
              <x14:cfvo type="min"/>
              <x14:cfvo type="max"/>
              <x14:negativeFillColor rgb="FF2A9D8F"/>
              <x14:axisColor rgb="FF000000"/>
            </x14:dataBar>
          </x14:cfRule>
          <xm:sqref>B4:B39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9.7" hidden="false" customHeight="false" outlineLevel="0" collapsed="false">
      <c r="A1" s="8" t="s">
        <v>643</v>
      </c>
    </row>
    <row r="2" customFormat="false" ht="15" hidden="false" customHeight="false" outlineLevel="0" collapsed="false">
      <c r="A2" s="17" t="s">
        <v>644</v>
      </c>
    </row>
    <row r="4" customFormat="false" ht="15" hidden="false" customHeight="false" outlineLevel="0" collapsed="false">
      <c r="A4" s="7" t="s">
        <v>645</v>
      </c>
      <c r="B4" s="7" t="s">
        <v>11</v>
      </c>
      <c r="C4" s="7" t="s">
        <v>10</v>
      </c>
      <c r="D4" s="7" t="s">
        <v>646</v>
      </c>
      <c r="E4" s="7" t="s">
        <v>13</v>
      </c>
    </row>
    <row r="5" customFormat="false" ht="15" hidden="false" customHeight="false" outlineLevel="0" collapsed="false">
      <c r="A5" s="0" t="n">
        <v>140</v>
      </c>
      <c r="B5" s="0" t="s">
        <v>647</v>
      </c>
      <c r="C5" s="0" t="s">
        <v>55</v>
      </c>
      <c r="D5" s="18" t="n">
        <v>84.96</v>
      </c>
      <c r="E5" s="18" t="n">
        <v>154.47</v>
      </c>
    </row>
    <row r="6" customFormat="false" ht="15" hidden="false" customHeight="false" outlineLevel="0" collapsed="false">
      <c r="A6" s="0" t="n">
        <v>181</v>
      </c>
      <c r="B6" s="0" t="s">
        <v>157</v>
      </c>
      <c r="C6" s="0" t="s">
        <v>47</v>
      </c>
      <c r="D6" s="18" t="n">
        <v>138.59</v>
      </c>
      <c r="E6" s="18" t="n">
        <v>251.98</v>
      </c>
    </row>
    <row r="7" customFormat="false" ht="15" hidden="false" customHeight="false" outlineLevel="0" collapsed="false">
      <c r="A7" s="0" t="n">
        <v>166</v>
      </c>
      <c r="B7" s="0" t="s">
        <v>526</v>
      </c>
      <c r="C7" s="0" t="s">
        <v>59</v>
      </c>
      <c r="D7" s="18" t="n">
        <v>135.28</v>
      </c>
      <c r="E7" s="18" t="n">
        <v>245.96</v>
      </c>
    </row>
    <row r="8" customFormat="false" ht="15" hidden="false" customHeight="false" outlineLevel="0" collapsed="false">
      <c r="A8" s="0" t="n">
        <v>192</v>
      </c>
      <c r="B8" s="0" t="s">
        <v>140</v>
      </c>
      <c r="C8" s="0" t="s">
        <v>47</v>
      </c>
      <c r="D8" s="18" t="n">
        <v>279.62</v>
      </c>
      <c r="E8" s="18" t="n">
        <v>508.4</v>
      </c>
    </row>
    <row r="9" customFormat="false" ht="15" hidden="false" customHeight="false" outlineLevel="0" collapsed="false">
      <c r="A9" s="0" t="n">
        <v>208</v>
      </c>
      <c r="B9" s="0" t="s">
        <v>628</v>
      </c>
      <c r="C9" s="0" t="s">
        <v>47</v>
      </c>
      <c r="D9" s="18" t="n">
        <v>365.42</v>
      </c>
      <c r="E9" s="18" t="n">
        <v>664.4</v>
      </c>
    </row>
    <row r="10" customFormat="false" ht="15" hidden="false" customHeight="false" outlineLevel="0" collapsed="false">
      <c r="A10" s="0" t="n">
        <v>43</v>
      </c>
      <c r="B10" s="0" t="s">
        <v>287</v>
      </c>
      <c r="C10" s="0" t="s">
        <v>21</v>
      </c>
      <c r="D10" s="18" t="n">
        <v>155.57</v>
      </c>
      <c r="E10" s="18" t="n">
        <v>282.85</v>
      </c>
    </row>
    <row r="11" customFormat="false" ht="15" hidden="false" customHeight="false" outlineLevel="0" collapsed="false">
      <c r="A11" s="0" t="n">
        <v>133</v>
      </c>
      <c r="B11" s="0" t="s">
        <v>111</v>
      </c>
      <c r="C11" s="0" t="s">
        <v>55</v>
      </c>
      <c r="D11" s="18" t="n">
        <v>94.24</v>
      </c>
      <c r="E11" s="18" t="n">
        <v>171.35</v>
      </c>
    </row>
    <row r="12" customFormat="false" ht="15" hidden="false" customHeight="false" outlineLevel="0" collapsed="false">
      <c r="A12" s="0" t="n">
        <v>99</v>
      </c>
      <c r="B12" s="0" t="s">
        <v>516</v>
      </c>
      <c r="C12" s="0" t="s">
        <v>29</v>
      </c>
      <c r="D12" s="18" t="n">
        <v>346.91</v>
      </c>
      <c r="E12" s="18" t="n">
        <v>630.75</v>
      </c>
    </row>
    <row r="13" customFormat="false" ht="15" hidden="false" customHeight="false" outlineLevel="0" collapsed="false">
      <c r="A13" s="0" t="n">
        <v>56</v>
      </c>
      <c r="B13" s="0" t="s">
        <v>26</v>
      </c>
      <c r="C13" s="0" t="s">
        <v>21</v>
      </c>
      <c r="D13" s="18" t="n">
        <v>720.81</v>
      </c>
      <c r="E13" s="18" t="n">
        <v>1310.56</v>
      </c>
    </row>
    <row r="14" customFormat="false" ht="15" hidden="false" customHeight="false" outlineLevel="0" collapsed="false">
      <c r="A14" s="0" t="n">
        <v>209</v>
      </c>
      <c r="B14" s="0" t="s">
        <v>648</v>
      </c>
      <c r="C14" s="0" t="s">
        <v>47</v>
      </c>
      <c r="D14" s="18" t="n">
        <v>190.82</v>
      </c>
      <c r="E14" s="18" t="n">
        <v>346.95</v>
      </c>
    </row>
    <row r="15" customFormat="false" ht="15" hidden="false" customHeight="false" outlineLevel="0" collapsed="false">
      <c r="A15" s="0" t="n">
        <v>81</v>
      </c>
      <c r="B15" s="0" t="s">
        <v>30</v>
      </c>
      <c r="C15" s="0" t="s">
        <v>29</v>
      </c>
      <c r="D15" s="18" t="n">
        <v>211.76</v>
      </c>
      <c r="E15" s="18" t="n">
        <v>385.02</v>
      </c>
    </row>
    <row r="16" customFormat="false" ht="15" hidden="false" customHeight="false" outlineLevel="0" collapsed="false">
      <c r="A16" s="0" t="n">
        <v>97</v>
      </c>
      <c r="B16" s="0" t="s">
        <v>265</v>
      </c>
      <c r="C16" s="0" t="s">
        <v>29</v>
      </c>
      <c r="D16" s="18" t="n">
        <v>407.73</v>
      </c>
      <c r="E16" s="18" t="n">
        <v>741.33</v>
      </c>
    </row>
    <row r="19" customFormat="false" ht="15" hidden="false" customHeight="false" outlineLevel="0" collapsed="false">
      <c r="A19" s="14" t="s">
        <v>649</v>
      </c>
      <c r="B19" s="19" t="n">
        <v>140</v>
      </c>
    </row>
    <row r="20" customFormat="false" ht="15" hidden="false" customHeight="false" outlineLevel="0" collapsed="false">
      <c r="A20" s="11" t="s">
        <v>650</v>
      </c>
      <c r="B20" s="0" t="str">
        <f aca="false">VLOOKUP(B19,A5:E16,2,FALSE())</f>
        <v>PrimeLiving Knife Set Lite</v>
      </c>
    </row>
    <row r="21" customFormat="false" ht="15" hidden="false" customHeight="false" outlineLevel="0" collapsed="false">
      <c r="A21" s="11" t="s">
        <v>651</v>
      </c>
      <c r="B21" s="0" t="str">
        <f aca="false">VLOOKUP(B19,A5:E16,3,FALSE())</f>
        <v>Kitchenware</v>
      </c>
    </row>
    <row r="22" customFormat="false" ht="15" hidden="false" customHeight="false" outlineLevel="0" collapsed="false">
      <c r="A22" s="11" t="s">
        <v>652</v>
      </c>
      <c r="B22" s="18" t="n">
        <f aca="false">INDEX(E5:E16,MATCH(B19,A5:A16,0))</f>
        <v>154.47</v>
      </c>
    </row>
    <row r="24" customFormat="false" ht="15" hidden="false" customHeight="false" outlineLevel="0" collapsed="false">
      <c r="A24" s="20" t="s">
        <v>653</v>
      </c>
      <c r="B24" s="6" t="s">
        <v>654</v>
      </c>
      <c r="C24" s="6"/>
      <c r="D24" s="6"/>
      <c r="E24" s="6"/>
    </row>
  </sheetData>
  <mergeCells count="1"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2026-07-16T17:47:39Z</dcterms:created>
  <dc:creator>openpyxl</dc:creator>
  <dc:description/>
  <dc:language>en-US</dc:language>
  <cp:lastModifiedBy/>
  <dcterms:modified xsi:type="dcterms:W3CDTF">2026-07-16T17:47:48Z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